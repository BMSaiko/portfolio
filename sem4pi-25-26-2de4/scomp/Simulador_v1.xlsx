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amm_isep_ipp_pt/Documents/Aulas/LAPR4_2025_2026/Dataset/"/>
    </mc:Choice>
  </mc:AlternateContent>
  <xr:revisionPtr revIDLastSave="95" documentId="11_5A863CD8F77EE730A6FC7425BD938CD5EF374D77" xr6:coauthVersionLast="47" xr6:coauthVersionMax="47" xr10:uidLastSave="{D6FC10BA-EF3B-DA4D-AF65-E9B0BBE9FF7C}"/>
  <bookViews>
    <workbookView xWindow="820" yWindow="7920" windowWidth="37640" windowHeight="17060" activeTab="2" xr2:uid="{00000000-000D-0000-FFFF-FFFF00000000}"/>
  </bookViews>
  <sheets>
    <sheet name="Climb" sheetId="1" r:id="rId1"/>
    <sheet name="Cruise" sheetId="4" r:id="rId2"/>
    <sheet name="Descend" sheetId="5" r:id="rId3"/>
    <sheet name="Constants" sheetId="2" r:id="rId4"/>
    <sheet name="Fligh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" i="5" l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16" i="5"/>
  <c r="Y17" i="5" s="1"/>
  <c r="Y18" i="5" s="1"/>
  <c r="X36" i="5"/>
  <c r="X37" i="5" s="1"/>
  <c r="X38" i="5" s="1"/>
  <c r="X39" i="5" s="1"/>
  <c r="X40" i="5" s="1"/>
  <c r="X41" i="5" s="1"/>
  <c r="X42" i="5" s="1"/>
  <c r="X43" i="5" s="1"/>
  <c r="X44" i="5" s="1"/>
  <c r="X45" i="5" s="1"/>
  <c r="M7" i="5"/>
  <c r="M7" i="4"/>
  <c r="Y18" i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17" i="1"/>
  <c r="Y16" i="1"/>
  <c r="E23" i="3"/>
  <c r="F23" i="3"/>
  <c r="G23" i="3"/>
  <c r="H23" i="3"/>
  <c r="I23" i="3"/>
  <c r="J23" i="3"/>
  <c r="K23" i="3" l="1"/>
  <c r="L23" i="3" s="1"/>
  <c r="M23" i="3" s="1"/>
  <c r="J22" i="3"/>
  <c r="I22" i="3"/>
  <c r="F22" i="3"/>
  <c r="G22" i="3"/>
  <c r="H22" i="3"/>
  <c r="E22" i="3"/>
  <c r="D16" i="5"/>
  <c r="D16" i="4"/>
  <c r="D16" i="1"/>
  <c r="K22" i="3" l="1"/>
  <c r="L22" i="3" l="1"/>
  <c r="M22" i="3" s="1"/>
  <c r="B10" i="5"/>
  <c r="C16" i="5"/>
  <c r="F16" i="5" s="1"/>
  <c r="E7" i="5"/>
  <c r="B16" i="5" s="1"/>
  <c r="X16" i="5"/>
  <c r="X17" i="5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16" i="4"/>
  <c r="X17" i="4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B10" i="4"/>
  <c r="C16" i="4"/>
  <c r="E16" i="4" s="1"/>
  <c r="E7" i="4"/>
  <c r="B16" i="4"/>
  <c r="G16" i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C16" i="1"/>
  <c r="F16" i="1" s="1"/>
  <c r="B10" i="1"/>
  <c r="E7" i="1"/>
  <c r="B16" i="1" s="1"/>
  <c r="E16" i="1" l="1"/>
  <c r="E16" i="5"/>
  <c r="F16" i="4"/>
  <c r="H16" i="1"/>
  <c r="O16" i="1" s="1"/>
  <c r="P16" i="1" s="1"/>
  <c r="S16" i="1" s="1"/>
  <c r="U16" i="1" s="1"/>
  <c r="B17" i="1" s="1"/>
  <c r="H16" i="5"/>
  <c r="I16" i="5" s="1"/>
  <c r="H16" i="4"/>
  <c r="I16" i="4" s="1"/>
  <c r="K16" i="4" s="1"/>
  <c r="M16" i="4" s="1"/>
  <c r="I16" i="1"/>
  <c r="J16" i="1" s="1"/>
  <c r="J16" i="5" l="1"/>
  <c r="K16" i="5"/>
  <c r="M16" i="5" s="1"/>
  <c r="N16" i="5" s="1"/>
  <c r="K16" i="1"/>
  <c r="M16" i="1" s="1"/>
  <c r="N16" i="1" s="1"/>
  <c r="Q16" i="1" s="1"/>
  <c r="W16" i="1" s="1"/>
  <c r="A17" i="1" s="1"/>
  <c r="D17" i="1" s="1"/>
  <c r="O16" i="5"/>
  <c r="P16" i="5" s="1"/>
  <c r="S16" i="5" s="1"/>
  <c r="U16" i="5" s="1"/>
  <c r="B17" i="5" s="1"/>
  <c r="N16" i="4"/>
  <c r="P16" i="4" s="1"/>
  <c r="J16" i="4"/>
  <c r="Q16" i="5" l="1"/>
  <c r="Q16" i="4"/>
  <c r="O16" i="4"/>
  <c r="S16" i="4"/>
  <c r="U16" i="4" s="1"/>
  <c r="R16" i="1"/>
  <c r="T16" i="1" s="1"/>
  <c r="V16" i="1" s="1"/>
  <c r="C17" i="1"/>
  <c r="F17" i="1" s="1"/>
  <c r="G17" i="1"/>
  <c r="B17" i="4" l="1"/>
  <c r="Y16" i="4"/>
  <c r="R16" i="5"/>
  <c r="T16" i="5" s="1"/>
  <c r="V16" i="5" s="1"/>
  <c r="W16" i="5"/>
  <c r="A17" i="5" s="1"/>
  <c r="W16" i="4"/>
  <c r="A17" i="4" s="1"/>
  <c r="D17" i="4" s="1"/>
  <c r="R16" i="4"/>
  <c r="T16" i="4" s="1"/>
  <c r="V16" i="4" s="1"/>
  <c r="E17" i="1"/>
  <c r="D17" i="5" l="1"/>
  <c r="C17" i="5"/>
  <c r="F17" i="5" s="1"/>
  <c r="C17" i="4"/>
  <c r="F17" i="4" s="1"/>
  <c r="H17" i="1"/>
  <c r="E17" i="5" l="1"/>
  <c r="H17" i="5" s="1"/>
  <c r="I17" i="5" s="1"/>
  <c r="E17" i="4"/>
  <c r="I17" i="1"/>
  <c r="O17" i="1"/>
  <c r="P17" i="1" s="1"/>
  <c r="O17" i="5" l="1"/>
  <c r="P17" i="5" s="1"/>
  <c r="S17" i="5" s="1"/>
  <c r="U17" i="5" s="1"/>
  <c r="B18" i="5" s="1"/>
  <c r="H17" i="4"/>
  <c r="I17" i="4" s="1"/>
  <c r="S17" i="1"/>
  <c r="U17" i="1" s="1"/>
  <c r="B18" i="1" s="1"/>
  <c r="J17" i="1"/>
  <c r="K17" i="1"/>
  <c r="M17" i="1" s="1"/>
  <c r="N17" i="1" s="1"/>
  <c r="Q17" i="1" s="1"/>
  <c r="J17" i="5"/>
  <c r="K17" i="5"/>
  <c r="M17" i="5" s="1"/>
  <c r="N17" i="5" s="1"/>
  <c r="Q17" i="5" l="1"/>
  <c r="K17" i="4"/>
  <c r="M17" i="4" s="1"/>
  <c r="N17" i="4" s="1"/>
  <c r="P17" i="4" s="1"/>
  <c r="J17" i="4"/>
  <c r="R17" i="1"/>
  <c r="T17" i="1" s="1"/>
  <c r="V17" i="1" s="1"/>
  <c r="W17" i="1"/>
  <c r="A18" i="1" s="1"/>
  <c r="D18" i="1" s="1"/>
  <c r="R17" i="5"/>
  <c r="T17" i="5" s="1"/>
  <c r="V17" i="5" s="1"/>
  <c r="W17" i="5"/>
  <c r="A18" i="5" s="1"/>
  <c r="D18" i="5" s="1"/>
  <c r="Q17" i="4" l="1"/>
  <c r="S17" i="4"/>
  <c r="U17" i="4" s="1"/>
  <c r="O17" i="4"/>
  <c r="G18" i="1"/>
  <c r="C18" i="1"/>
  <c r="F18" i="1" s="1"/>
  <c r="C18" i="5"/>
  <c r="F18" i="5" s="1"/>
  <c r="B18" i="4" l="1"/>
  <c r="Y17" i="4"/>
  <c r="R17" i="4"/>
  <c r="T17" i="4" s="1"/>
  <c r="V17" i="4" s="1"/>
  <c r="W17" i="4"/>
  <c r="A18" i="4" s="1"/>
  <c r="D18" i="4" s="1"/>
  <c r="E18" i="1"/>
  <c r="E18" i="5"/>
  <c r="H18" i="5" s="1"/>
  <c r="C18" i="4" l="1"/>
  <c r="F18" i="4" s="1"/>
  <c r="H18" i="1"/>
  <c r="I18" i="5"/>
  <c r="O18" i="5"/>
  <c r="P18" i="5" s="1"/>
  <c r="E18" i="4" l="1"/>
  <c r="I18" i="1"/>
  <c r="O18" i="1"/>
  <c r="P18" i="1" s="1"/>
  <c r="J18" i="5"/>
  <c r="K18" i="5"/>
  <c r="M18" i="5" s="1"/>
  <c r="N18" i="5" s="1"/>
  <c r="Q18" i="5" s="1"/>
  <c r="S18" i="5"/>
  <c r="U18" i="5" s="1"/>
  <c r="B19" i="5" s="1"/>
  <c r="H18" i="4" l="1"/>
  <c r="I18" i="4" s="1"/>
  <c r="S18" i="1"/>
  <c r="U18" i="1" s="1"/>
  <c r="B19" i="1" s="1"/>
  <c r="J18" i="1"/>
  <c r="K18" i="1"/>
  <c r="M18" i="1" s="1"/>
  <c r="N18" i="1" s="1"/>
  <c r="Q18" i="1" s="1"/>
  <c r="R18" i="5"/>
  <c r="T18" i="5" s="1"/>
  <c r="V18" i="5" s="1"/>
  <c r="W18" i="5"/>
  <c r="A19" i="5" s="1"/>
  <c r="D19" i="5" s="1"/>
  <c r="K18" i="4" l="1"/>
  <c r="M18" i="4" s="1"/>
  <c r="N18" i="4" s="1"/>
  <c r="P18" i="4" s="1"/>
  <c r="J18" i="4"/>
  <c r="R18" i="1"/>
  <c r="T18" i="1" s="1"/>
  <c r="V18" i="1" s="1"/>
  <c r="W18" i="1"/>
  <c r="A19" i="1" s="1"/>
  <c r="D19" i="1" s="1"/>
  <c r="C19" i="5"/>
  <c r="F19" i="5" s="1"/>
  <c r="E19" i="5" l="1"/>
  <c r="H19" i="5" s="1"/>
  <c r="O18" i="4"/>
  <c r="Q18" i="4"/>
  <c r="S18" i="4"/>
  <c r="U18" i="4" s="1"/>
  <c r="C19" i="1"/>
  <c r="F19" i="1" s="1"/>
  <c r="G19" i="1"/>
  <c r="B19" i="4" l="1"/>
  <c r="Y18" i="4"/>
  <c r="R18" i="4"/>
  <c r="T18" i="4" s="1"/>
  <c r="V18" i="4" s="1"/>
  <c r="W18" i="4"/>
  <c r="A19" i="4" s="1"/>
  <c r="D19" i="4" s="1"/>
  <c r="E19" i="1"/>
  <c r="I19" i="5"/>
  <c r="O19" i="5"/>
  <c r="P19" i="5" s="1"/>
  <c r="C19" i="4" l="1"/>
  <c r="F19" i="4" s="1"/>
  <c r="H19" i="1"/>
  <c r="J19" i="5"/>
  <c r="K19" i="5"/>
  <c r="M19" i="5" s="1"/>
  <c r="N19" i="5" s="1"/>
  <c r="Q19" i="5" s="1"/>
  <c r="S19" i="5"/>
  <c r="U19" i="5" s="1"/>
  <c r="B20" i="5" s="1"/>
  <c r="E19" i="4" l="1"/>
  <c r="I19" i="1"/>
  <c r="O19" i="1"/>
  <c r="P19" i="1" s="1"/>
  <c r="R19" i="5"/>
  <c r="T19" i="5" s="1"/>
  <c r="V19" i="5" s="1"/>
  <c r="W19" i="5"/>
  <c r="A20" i="5" s="1"/>
  <c r="D20" i="5" s="1"/>
  <c r="H19" i="4" l="1"/>
  <c r="I19" i="4" s="1"/>
  <c r="S19" i="1"/>
  <c r="U19" i="1" s="1"/>
  <c r="B20" i="1" s="1"/>
  <c r="J19" i="1"/>
  <c r="K19" i="1"/>
  <c r="M19" i="1" s="1"/>
  <c r="N19" i="1" s="1"/>
  <c r="Q19" i="1" s="1"/>
  <c r="C20" i="5"/>
  <c r="F20" i="5" s="1"/>
  <c r="K19" i="4" l="1"/>
  <c r="M19" i="4" s="1"/>
  <c r="N19" i="4" s="1"/>
  <c r="P19" i="4" s="1"/>
  <c r="J19" i="4"/>
  <c r="R19" i="1"/>
  <c r="T19" i="1" s="1"/>
  <c r="V19" i="1" s="1"/>
  <c r="W19" i="1"/>
  <c r="A20" i="1" s="1"/>
  <c r="D20" i="1" s="1"/>
  <c r="E20" i="5"/>
  <c r="O19" i="4" l="1"/>
  <c r="Q19" i="4"/>
  <c r="S19" i="4"/>
  <c r="U19" i="4" s="1"/>
  <c r="G20" i="1"/>
  <c r="C20" i="1"/>
  <c r="F20" i="1" s="1"/>
  <c r="H20" i="5"/>
  <c r="B20" i="4" l="1"/>
  <c r="Y19" i="4"/>
  <c r="R19" i="4"/>
  <c r="T19" i="4" s="1"/>
  <c r="V19" i="4" s="1"/>
  <c r="W19" i="4"/>
  <c r="A20" i="4" s="1"/>
  <c r="D20" i="4" s="1"/>
  <c r="E20" i="1"/>
  <c r="I20" i="5"/>
  <c r="O20" i="5"/>
  <c r="P20" i="5" s="1"/>
  <c r="C20" i="4" l="1"/>
  <c r="F20" i="4" s="1"/>
  <c r="H20" i="1"/>
  <c r="J20" i="5"/>
  <c r="K20" i="5"/>
  <c r="M20" i="5" s="1"/>
  <c r="N20" i="5" s="1"/>
  <c r="Q20" i="5" s="1"/>
  <c r="S20" i="5"/>
  <c r="U20" i="5" s="1"/>
  <c r="B21" i="5" s="1"/>
  <c r="E20" i="4" l="1"/>
  <c r="H20" i="4"/>
  <c r="I20" i="4" s="1"/>
  <c r="I20" i="1"/>
  <c r="O20" i="1"/>
  <c r="P20" i="1" s="1"/>
  <c r="R20" i="5"/>
  <c r="T20" i="5" s="1"/>
  <c r="V20" i="5" s="1"/>
  <c r="W20" i="5"/>
  <c r="A21" i="5" s="1"/>
  <c r="D21" i="5" s="1"/>
  <c r="K20" i="4" l="1"/>
  <c r="M20" i="4" s="1"/>
  <c r="N20" i="4" s="1"/>
  <c r="P20" i="4" s="1"/>
  <c r="J20" i="4"/>
  <c r="S20" i="1"/>
  <c r="U20" i="1" s="1"/>
  <c r="B21" i="1" s="1"/>
  <c r="J20" i="1"/>
  <c r="K20" i="1"/>
  <c r="M20" i="1" s="1"/>
  <c r="N20" i="1" s="1"/>
  <c r="Q20" i="1" s="1"/>
  <c r="G21" i="5"/>
  <c r="C21" i="5"/>
  <c r="F21" i="5" s="1"/>
  <c r="Q20" i="4" l="1"/>
  <c r="O20" i="4"/>
  <c r="S20" i="4"/>
  <c r="U20" i="4" s="1"/>
  <c r="R20" i="1"/>
  <c r="T20" i="1" s="1"/>
  <c r="V20" i="1" s="1"/>
  <c r="W20" i="1"/>
  <c r="A21" i="1" s="1"/>
  <c r="D21" i="1" s="1"/>
  <c r="E21" i="5"/>
  <c r="H21" i="5" s="1"/>
  <c r="B21" i="4" l="1"/>
  <c r="Y20" i="4"/>
  <c r="R20" i="4"/>
  <c r="T20" i="4" s="1"/>
  <c r="V20" i="4" s="1"/>
  <c r="W20" i="4"/>
  <c r="A21" i="4" s="1"/>
  <c r="D21" i="4" s="1"/>
  <c r="C21" i="1"/>
  <c r="F21" i="1" s="1"/>
  <c r="G21" i="1"/>
  <c r="I21" i="5"/>
  <c r="O21" i="5"/>
  <c r="P21" i="5" s="1"/>
  <c r="C21" i="4" l="1"/>
  <c r="F21" i="4" s="1"/>
  <c r="E21" i="1"/>
  <c r="J21" i="5"/>
  <c r="K21" i="5"/>
  <c r="M21" i="5" s="1"/>
  <c r="N21" i="5" s="1"/>
  <c r="Q21" i="5" s="1"/>
  <c r="S21" i="5"/>
  <c r="U21" i="5" s="1"/>
  <c r="B22" i="5" s="1"/>
  <c r="E21" i="4" l="1"/>
  <c r="H21" i="4"/>
  <c r="I21" i="4" s="1"/>
  <c r="H21" i="1"/>
  <c r="R21" i="5"/>
  <c r="T21" i="5" s="1"/>
  <c r="V21" i="5" s="1"/>
  <c r="W21" i="5"/>
  <c r="A22" i="5" s="1"/>
  <c r="D22" i="5" s="1"/>
  <c r="K21" i="4" l="1"/>
  <c r="M21" i="4" s="1"/>
  <c r="N21" i="4" s="1"/>
  <c r="P21" i="4" s="1"/>
  <c r="J21" i="4"/>
  <c r="I21" i="1"/>
  <c r="O21" i="1"/>
  <c r="P21" i="1" s="1"/>
  <c r="C22" i="5"/>
  <c r="F22" i="5" s="1"/>
  <c r="G22" i="5"/>
  <c r="Q21" i="4" l="1"/>
  <c r="S21" i="4"/>
  <c r="U21" i="4" s="1"/>
  <c r="O21" i="4"/>
  <c r="S21" i="1"/>
  <c r="U21" i="1" s="1"/>
  <c r="B22" i="1" s="1"/>
  <c r="J21" i="1"/>
  <c r="K21" i="1"/>
  <c r="M21" i="1" s="1"/>
  <c r="N21" i="1" s="1"/>
  <c r="Q21" i="1" s="1"/>
  <c r="E22" i="5"/>
  <c r="B22" i="4" l="1"/>
  <c r="Y21" i="4"/>
  <c r="R21" i="4"/>
  <c r="T21" i="4" s="1"/>
  <c r="V21" i="4" s="1"/>
  <c r="W21" i="4"/>
  <c r="A22" i="4" s="1"/>
  <c r="D22" i="4" s="1"/>
  <c r="R21" i="1"/>
  <c r="T21" i="1" s="1"/>
  <c r="V21" i="1" s="1"/>
  <c r="W21" i="1"/>
  <c r="A22" i="1" s="1"/>
  <c r="D22" i="1" s="1"/>
  <c r="H22" i="5"/>
  <c r="C22" i="4" l="1"/>
  <c r="F22" i="4" s="1"/>
  <c r="G22" i="1"/>
  <c r="C22" i="1"/>
  <c r="F22" i="1" s="1"/>
  <c r="I22" i="5"/>
  <c r="O22" i="5"/>
  <c r="P22" i="5" s="1"/>
  <c r="E22" i="4" l="1"/>
  <c r="H22" i="4"/>
  <c r="I22" i="4" s="1"/>
  <c r="E22" i="1"/>
  <c r="H22" i="1" s="1"/>
  <c r="J22" i="5"/>
  <c r="K22" i="5"/>
  <c r="M22" i="5" s="1"/>
  <c r="N22" i="5" s="1"/>
  <c r="Q22" i="5" s="1"/>
  <c r="S22" i="5"/>
  <c r="U22" i="5" s="1"/>
  <c r="B23" i="5" s="1"/>
  <c r="K22" i="4" l="1"/>
  <c r="M22" i="4" s="1"/>
  <c r="N22" i="4" s="1"/>
  <c r="P22" i="4" s="1"/>
  <c r="J22" i="4"/>
  <c r="I22" i="1"/>
  <c r="O22" i="1"/>
  <c r="P22" i="1" s="1"/>
  <c r="R22" i="5"/>
  <c r="T22" i="5" s="1"/>
  <c r="V22" i="5" s="1"/>
  <c r="W22" i="5"/>
  <c r="A23" i="5" s="1"/>
  <c r="D23" i="5" s="1"/>
  <c r="O22" i="4" l="1"/>
  <c r="Q22" i="4"/>
  <c r="S22" i="4"/>
  <c r="U22" i="4" s="1"/>
  <c r="S22" i="1"/>
  <c r="U22" i="1" s="1"/>
  <c r="B23" i="1" s="1"/>
  <c r="J22" i="1"/>
  <c r="K22" i="1"/>
  <c r="M22" i="1" s="1"/>
  <c r="N22" i="1" s="1"/>
  <c r="Q22" i="1" s="1"/>
  <c r="C23" i="5"/>
  <c r="F23" i="5" s="1"/>
  <c r="G23" i="5"/>
  <c r="B23" i="4" l="1"/>
  <c r="Y22" i="4"/>
  <c r="R22" i="4"/>
  <c r="T22" i="4" s="1"/>
  <c r="V22" i="4" s="1"/>
  <c r="W22" i="4"/>
  <c r="A23" i="4" s="1"/>
  <c r="D23" i="4" s="1"/>
  <c r="R22" i="1"/>
  <c r="T22" i="1" s="1"/>
  <c r="V22" i="1" s="1"/>
  <c r="W22" i="1"/>
  <c r="A23" i="1" s="1"/>
  <c r="D23" i="1" s="1"/>
  <c r="E23" i="5"/>
  <c r="H23" i="5" s="1"/>
  <c r="C23" i="4" l="1"/>
  <c r="F23" i="4" s="1"/>
  <c r="C23" i="1"/>
  <c r="F23" i="1" s="1"/>
  <c r="G23" i="1"/>
  <c r="O23" i="5"/>
  <c r="P23" i="5" s="1"/>
  <c r="I23" i="5"/>
  <c r="E23" i="4" l="1"/>
  <c r="H23" i="4"/>
  <c r="I23" i="4" s="1"/>
  <c r="E23" i="1"/>
  <c r="H23" i="1" s="1"/>
  <c r="S23" i="5"/>
  <c r="U23" i="5" s="1"/>
  <c r="B24" i="5" s="1"/>
  <c r="J23" i="5"/>
  <c r="K23" i="5"/>
  <c r="M23" i="5" s="1"/>
  <c r="N23" i="5" s="1"/>
  <c r="Q23" i="5" s="1"/>
  <c r="K23" i="4" l="1"/>
  <c r="M23" i="4" s="1"/>
  <c r="N23" i="4" s="1"/>
  <c r="P23" i="4" s="1"/>
  <c r="J23" i="4"/>
  <c r="I23" i="1"/>
  <c r="O23" i="1"/>
  <c r="P23" i="1" s="1"/>
  <c r="R23" i="5"/>
  <c r="T23" i="5" s="1"/>
  <c r="V23" i="5" s="1"/>
  <c r="W23" i="5"/>
  <c r="A24" i="5" s="1"/>
  <c r="D24" i="5" s="1"/>
  <c r="O23" i="4" l="1"/>
  <c r="Q23" i="4"/>
  <c r="S23" i="4"/>
  <c r="U23" i="4" s="1"/>
  <c r="S23" i="1"/>
  <c r="U23" i="1" s="1"/>
  <c r="B24" i="1" s="1"/>
  <c r="J23" i="1"/>
  <c r="K23" i="1"/>
  <c r="M23" i="1" s="1"/>
  <c r="N23" i="1" s="1"/>
  <c r="Q23" i="1" s="1"/>
  <c r="G24" i="5"/>
  <c r="C24" i="5"/>
  <c r="F24" i="5" s="1"/>
  <c r="B24" i="4" l="1"/>
  <c r="Y23" i="4"/>
  <c r="R23" i="4"/>
  <c r="T23" i="4" s="1"/>
  <c r="V23" i="4" s="1"/>
  <c r="W23" i="4"/>
  <c r="A24" i="4" s="1"/>
  <c r="D24" i="4" s="1"/>
  <c r="R23" i="1"/>
  <c r="T23" i="1" s="1"/>
  <c r="V23" i="1" s="1"/>
  <c r="W23" i="1"/>
  <c r="A24" i="1" s="1"/>
  <c r="D24" i="1" s="1"/>
  <c r="E24" i="5"/>
  <c r="H24" i="5" s="1"/>
  <c r="C24" i="4" l="1"/>
  <c r="F24" i="4" s="1"/>
  <c r="G24" i="1"/>
  <c r="C24" i="1"/>
  <c r="F24" i="1" s="1"/>
  <c r="I24" i="5"/>
  <c r="O24" i="5"/>
  <c r="P24" i="5" s="1"/>
  <c r="E24" i="4" l="1"/>
  <c r="E24" i="1"/>
  <c r="H24" i="1" s="1"/>
  <c r="J24" i="5"/>
  <c r="K24" i="5"/>
  <c r="M24" i="5" s="1"/>
  <c r="N24" i="5" s="1"/>
  <c r="Q24" i="5" s="1"/>
  <c r="S24" i="5"/>
  <c r="U24" i="5" s="1"/>
  <c r="B25" i="5" s="1"/>
  <c r="H24" i="4" l="1"/>
  <c r="I24" i="4" s="1"/>
  <c r="I24" i="1"/>
  <c r="O24" i="1"/>
  <c r="P24" i="1" s="1"/>
  <c r="R24" i="5"/>
  <c r="T24" i="5" s="1"/>
  <c r="V24" i="5" s="1"/>
  <c r="W24" i="5"/>
  <c r="A25" i="5" s="1"/>
  <c r="D25" i="5" s="1"/>
  <c r="K24" i="4" l="1"/>
  <c r="M24" i="4" s="1"/>
  <c r="N24" i="4" s="1"/>
  <c r="P24" i="4" s="1"/>
  <c r="J24" i="4"/>
  <c r="S24" i="1"/>
  <c r="U24" i="1" s="1"/>
  <c r="B25" i="1" s="1"/>
  <c r="J24" i="1"/>
  <c r="K24" i="1"/>
  <c r="M24" i="1" s="1"/>
  <c r="N24" i="1" s="1"/>
  <c r="Q24" i="1" s="1"/>
  <c r="C25" i="5"/>
  <c r="F25" i="5" s="1"/>
  <c r="G25" i="5"/>
  <c r="Q24" i="4" l="1"/>
  <c r="O24" i="4"/>
  <c r="S24" i="4"/>
  <c r="U24" i="4" s="1"/>
  <c r="R24" i="1"/>
  <c r="T24" i="1" s="1"/>
  <c r="V24" i="1" s="1"/>
  <c r="W24" i="1"/>
  <c r="A25" i="1" s="1"/>
  <c r="D25" i="1" s="1"/>
  <c r="E25" i="5"/>
  <c r="H25" i="5" s="1"/>
  <c r="B25" i="4" l="1"/>
  <c r="Y24" i="4"/>
  <c r="R24" i="4"/>
  <c r="T24" i="4" s="1"/>
  <c r="V24" i="4" s="1"/>
  <c r="W24" i="4"/>
  <c r="A25" i="4" s="1"/>
  <c r="D25" i="4" s="1"/>
  <c r="G25" i="1"/>
  <c r="C25" i="1"/>
  <c r="F25" i="1" s="1"/>
  <c r="O25" i="5"/>
  <c r="P25" i="5" s="1"/>
  <c r="I25" i="5"/>
  <c r="C25" i="4" l="1"/>
  <c r="F25" i="4" s="1"/>
  <c r="E25" i="1"/>
  <c r="S25" i="5"/>
  <c r="U25" i="5" s="1"/>
  <c r="B26" i="5" s="1"/>
  <c r="J25" i="5"/>
  <c r="K25" i="5"/>
  <c r="M25" i="5" s="1"/>
  <c r="N25" i="5" s="1"/>
  <c r="Q25" i="5" s="1"/>
  <c r="E25" i="4" l="1"/>
  <c r="H25" i="1"/>
  <c r="R25" i="5"/>
  <c r="T25" i="5" s="1"/>
  <c r="V25" i="5" s="1"/>
  <c r="W25" i="5"/>
  <c r="A26" i="5" s="1"/>
  <c r="D26" i="5" s="1"/>
  <c r="H25" i="4" l="1"/>
  <c r="I25" i="4" s="1"/>
  <c r="I25" i="1"/>
  <c r="O25" i="1"/>
  <c r="P25" i="1" s="1"/>
  <c r="G26" i="5"/>
  <c r="C26" i="5"/>
  <c r="F26" i="5" s="1"/>
  <c r="K25" i="4" l="1"/>
  <c r="M25" i="4" s="1"/>
  <c r="N25" i="4" s="1"/>
  <c r="P25" i="4" s="1"/>
  <c r="J25" i="4"/>
  <c r="S25" i="1"/>
  <c r="U25" i="1" s="1"/>
  <c r="B26" i="1" s="1"/>
  <c r="J25" i="1"/>
  <c r="K25" i="1"/>
  <c r="M25" i="1" s="1"/>
  <c r="N25" i="1" s="1"/>
  <c r="Q25" i="1" s="1"/>
  <c r="E26" i="5"/>
  <c r="Q25" i="4" l="1"/>
  <c r="S25" i="4"/>
  <c r="U25" i="4" s="1"/>
  <c r="O25" i="4"/>
  <c r="R25" i="1"/>
  <c r="T25" i="1" s="1"/>
  <c r="V25" i="1" s="1"/>
  <c r="W25" i="1"/>
  <c r="A26" i="1" s="1"/>
  <c r="D26" i="1" s="1"/>
  <c r="H26" i="5"/>
  <c r="B26" i="4" l="1"/>
  <c r="Y25" i="4"/>
  <c r="R25" i="4"/>
  <c r="T25" i="4" s="1"/>
  <c r="V25" i="4" s="1"/>
  <c r="W25" i="4"/>
  <c r="A26" i="4" s="1"/>
  <c r="D26" i="4" s="1"/>
  <c r="C26" i="1"/>
  <c r="F26" i="1" s="1"/>
  <c r="G26" i="1"/>
  <c r="I26" i="5"/>
  <c r="O26" i="5"/>
  <c r="P26" i="5" s="1"/>
  <c r="C26" i="4" l="1"/>
  <c r="F26" i="4" s="1"/>
  <c r="E26" i="1"/>
  <c r="J26" i="5"/>
  <c r="K26" i="5"/>
  <c r="M26" i="5" s="1"/>
  <c r="N26" i="5" s="1"/>
  <c r="Q26" i="5" s="1"/>
  <c r="S26" i="5"/>
  <c r="U26" i="5" s="1"/>
  <c r="B27" i="5" s="1"/>
  <c r="E26" i="4" l="1"/>
  <c r="H26" i="1"/>
  <c r="R26" i="5"/>
  <c r="T26" i="5" s="1"/>
  <c r="V26" i="5" s="1"/>
  <c r="W26" i="5"/>
  <c r="A27" i="5" s="1"/>
  <c r="D27" i="5" s="1"/>
  <c r="H26" i="4" l="1"/>
  <c r="I26" i="4" s="1"/>
  <c r="I26" i="1"/>
  <c r="O26" i="1"/>
  <c r="P26" i="1" s="1"/>
  <c r="C27" i="5"/>
  <c r="F27" i="5" s="1"/>
  <c r="G27" i="5"/>
  <c r="E27" i="5" l="1"/>
  <c r="H27" i="5" s="1"/>
  <c r="K26" i="4"/>
  <c r="M26" i="4" s="1"/>
  <c r="N26" i="4" s="1"/>
  <c r="P26" i="4" s="1"/>
  <c r="J26" i="4"/>
  <c r="S26" i="1"/>
  <c r="U26" i="1" s="1"/>
  <c r="B27" i="1" s="1"/>
  <c r="J26" i="1"/>
  <c r="K26" i="1"/>
  <c r="M26" i="1" s="1"/>
  <c r="N26" i="1" s="1"/>
  <c r="Q26" i="1" s="1"/>
  <c r="Q26" i="4" l="1"/>
  <c r="R26" i="4" s="1"/>
  <c r="T26" i="4" s="1"/>
  <c r="V26" i="4" s="1"/>
  <c r="S26" i="4"/>
  <c r="U26" i="4" s="1"/>
  <c r="O26" i="4"/>
  <c r="R26" i="1"/>
  <c r="T26" i="1" s="1"/>
  <c r="V26" i="1" s="1"/>
  <c r="W26" i="1"/>
  <c r="A27" i="1" s="1"/>
  <c r="D27" i="1" s="1"/>
  <c r="I27" i="5"/>
  <c r="O27" i="5"/>
  <c r="P27" i="5" s="1"/>
  <c r="B27" i="4" l="1"/>
  <c r="Y26" i="4"/>
  <c r="W26" i="4"/>
  <c r="A27" i="4" s="1"/>
  <c r="D27" i="4" s="1"/>
  <c r="G27" i="1"/>
  <c r="C27" i="1"/>
  <c r="F27" i="1" s="1"/>
  <c r="J27" i="5"/>
  <c r="K27" i="5"/>
  <c r="M27" i="5" s="1"/>
  <c r="N27" i="5" s="1"/>
  <c r="Q27" i="5" s="1"/>
  <c r="S27" i="5"/>
  <c r="U27" i="5" s="1"/>
  <c r="B28" i="5" s="1"/>
  <c r="C27" i="4" l="1"/>
  <c r="F27" i="4" s="1"/>
  <c r="E27" i="1"/>
  <c r="R27" i="5"/>
  <c r="T27" i="5" s="1"/>
  <c r="V27" i="5" s="1"/>
  <c r="W27" i="5"/>
  <c r="A28" i="5" s="1"/>
  <c r="D28" i="5" s="1"/>
  <c r="E27" i="4" l="1"/>
  <c r="H27" i="4" s="1"/>
  <c r="I27" i="4" s="1"/>
  <c r="J27" i="4" s="1"/>
  <c r="H27" i="1"/>
  <c r="C28" i="5"/>
  <c r="F28" i="5" s="1"/>
  <c r="G28" i="5"/>
  <c r="K27" i="4" l="1"/>
  <c r="M27" i="4" s="1"/>
  <c r="N27" i="4" s="1"/>
  <c r="P27" i="4" s="1"/>
  <c r="O27" i="4" s="1"/>
  <c r="I27" i="1"/>
  <c r="O27" i="1"/>
  <c r="P27" i="1" s="1"/>
  <c r="E28" i="5"/>
  <c r="S27" i="4" l="1"/>
  <c r="U27" i="4" s="1"/>
  <c r="Q27" i="4"/>
  <c r="R27" i="4" s="1"/>
  <c r="T27" i="4" s="1"/>
  <c r="V27" i="4" s="1"/>
  <c r="S27" i="1"/>
  <c r="U27" i="1" s="1"/>
  <c r="B28" i="1" s="1"/>
  <c r="J27" i="1"/>
  <c r="K27" i="1"/>
  <c r="M27" i="1" s="1"/>
  <c r="N27" i="1" s="1"/>
  <c r="Q27" i="1" s="1"/>
  <c r="H28" i="5"/>
  <c r="B28" i="4" l="1"/>
  <c r="Y27" i="4"/>
  <c r="W27" i="4"/>
  <c r="A28" i="4" s="1"/>
  <c r="D28" i="4" s="1"/>
  <c r="R27" i="1"/>
  <c r="T27" i="1" s="1"/>
  <c r="V27" i="1" s="1"/>
  <c r="W27" i="1"/>
  <c r="A28" i="1" s="1"/>
  <c r="D28" i="1" s="1"/>
  <c r="I28" i="5"/>
  <c r="O28" i="5"/>
  <c r="P28" i="5" s="1"/>
  <c r="C28" i="4" l="1"/>
  <c r="F28" i="4" s="1"/>
  <c r="C28" i="1"/>
  <c r="F28" i="1" s="1"/>
  <c r="G28" i="1"/>
  <c r="J28" i="5"/>
  <c r="K28" i="5"/>
  <c r="M28" i="5" s="1"/>
  <c r="N28" i="5" s="1"/>
  <c r="Q28" i="5" s="1"/>
  <c r="S28" i="5"/>
  <c r="U28" i="5" s="1"/>
  <c r="B29" i="5" s="1"/>
  <c r="E28" i="4" l="1"/>
  <c r="H28" i="4" s="1"/>
  <c r="I28" i="4" s="1"/>
  <c r="J28" i="4" s="1"/>
  <c r="E28" i="1"/>
  <c r="H28" i="1"/>
  <c r="R28" i="5"/>
  <c r="T28" i="5" s="1"/>
  <c r="V28" i="5" s="1"/>
  <c r="W28" i="5"/>
  <c r="A29" i="5" s="1"/>
  <c r="D29" i="5" s="1"/>
  <c r="K28" i="4" l="1"/>
  <c r="M28" i="4" s="1"/>
  <c r="N28" i="4" s="1"/>
  <c r="P28" i="4" s="1"/>
  <c r="Q28" i="4" s="1"/>
  <c r="I28" i="1"/>
  <c r="O28" i="1"/>
  <c r="P28" i="1" s="1"/>
  <c r="G29" i="5"/>
  <c r="C29" i="5"/>
  <c r="F29" i="5" s="1"/>
  <c r="S28" i="4" l="1"/>
  <c r="U28" i="4" s="1"/>
  <c r="O28" i="4"/>
  <c r="R28" i="4"/>
  <c r="T28" i="4" s="1"/>
  <c r="V28" i="4" s="1"/>
  <c r="W28" i="4"/>
  <c r="A29" i="4" s="1"/>
  <c r="D29" i="4" s="1"/>
  <c r="S28" i="1"/>
  <c r="U28" i="1" s="1"/>
  <c r="B29" i="1" s="1"/>
  <c r="J28" i="1"/>
  <c r="K28" i="1"/>
  <c r="M28" i="1" s="1"/>
  <c r="N28" i="1" s="1"/>
  <c r="Q28" i="1" s="1"/>
  <c r="E29" i="5"/>
  <c r="H29" i="5" s="1"/>
  <c r="B29" i="4" l="1"/>
  <c r="Y28" i="4"/>
  <c r="C29" i="4"/>
  <c r="F29" i="4" s="1"/>
  <c r="R28" i="1"/>
  <c r="T28" i="1" s="1"/>
  <c r="V28" i="1" s="1"/>
  <c r="W28" i="1"/>
  <c r="A29" i="1" s="1"/>
  <c r="D29" i="1" s="1"/>
  <c r="I29" i="5"/>
  <c r="O29" i="5"/>
  <c r="P29" i="5" s="1"/>
  <c r="E29" i="4" l="1"/>
  <c r="G29" i="1"/>
  <c r="C29" i="1"/>
  <c r="F29" i="1" s="1"/>
  <c r="S29" i="5"/>
  <c r="U29" i="5" s="1"/>
  <c r="B30" i="5" s="1"/>
  <c r="J29" i="5"/>
  <c r="K29" i="5"/>
  <c r="M29" i="5" s="1"/>
  <c r="N29" i="5" s="1"/>
  <c r="Q29" i="5" s="1"/>
  <c r="H29" i="4" l="1"/>
  <c r="I29" i="4" s="1"/>
  <c r="E29" i="1"/>
  <c r="R29" i="5"/>
  <c r="T29" i="5" s="1"/>
  <c r="V29" i="5" s="1"/>
  <c r="W29" i="5"/>
  <c r="A30" i="5" s="1"/>
  <c r="D30" i="5" s="1"/>
  <c r="K29" i="4" l="1"/>
  <c r="M29" i="4" s="1"/>
  <c r="N29" i="4" s="1"/>
  <c r="P29" i="4" s="1"/>
  <c r="J29" i="4"/>
  <c r="H29" i="1"/>
  <c r="C30" i="5"/>
  <c r="F30" i="5" s="1"/>
  <c r="G30" i="5"/>
  <c r="Q29" i="4" l="1"/>
  <c r="S29" i="4"/>
  <c r="U29" i="4" s="1"/>
  <c r="O29" i="4"/>
  <c r="I29" i="1"/>
  <c r="O29" i="1"/>
  <c r="P29" i="1" s="1"/>
  <c r="E30" i="5"/>
  <c r="B30" i="4" l="1"/>
  <c r="Y29" i="4"/>
  <c r="R29" i="4"/>
  <c r="T29" i="4" s="1"/>
  <c r="V29" i="4" s="1"/>
  <c r="W29" i="4"/>
  <c r="A30" i="4" s="1"/>
  <c r="D30" i="4" s="1"/>
  <c r="S29" i="1"/>
  <c r="U29" i="1" s="1"/>
  <c r="B30" i="1" s="1"/>
  <c r="J29" i="1"/>
  <c r="K29" i="1"/>
  <c r="M29" i="1" s="1"/>
  <c r="N29" i="1" s="1"/>
  <c r="Q29" i="1" s="1"/>
  <c r="H30" i="5"/>
  <c r="C30" i="4" l="1"/>
  <c r="F30" i="4" s="1"/>
  <c r="R29" i="1"/>
  <c r="T29" i="1" s="1"/>
  <c r="V29" i="1" s="1"/>
  <c r="W29" i="1"/>
  <c r="A30" i="1" s="1"/>
  <c r="I30" i="5"/>
  <c r="O30" i="5"/>
  <c r="P30" i="5" s="1"/>
  <c r="D30" i="1" l="1"/>
  <c r="E30" i="4"/>
  <c r="C30" i="1"/>
  <c r="F30" i="1" s="1"/>
  <c r="G30" i="1"/>
  <c r="J30" i="5"/>
  <c r="K30" i="5"/>
  <c r="M30" i="5" s="1"/>
  <c r="N30" i="5" s="1"/>
  <c r="Q30" i="5" s="1"/>
  <c r="S30" i="5"/>
  <c r="U30" i="5" s="1"/>
  <c r="B31" i="5" s="1"/>
  <c r="H30" i="4" l="1"/>
  <c r="I30" i="4" s="1"/>
  <c r="K30" i="4" s="1"/>
  <c r="M30" i="4" s="1"/>
  <c r="N30" i="4" s="1"/>
  <c r="P30" i="4" s="1"/>
  <c r="E30" i="1"/>
  <c r="H30" i="1" s="1"/>
  <c r="R30" i="5"/>
  <c r="T30" i="5" s="1"/>
  <c r="V30" i="5" s="1"/>
  <c r="W30" i="5"/>
  <c r="A31" i="5" s="1"/>
  <c r="D31" i="5" s="1"/>
  <c r="O30" i="4" l="1"/>
  <c r="Q30" i="4"/>
  <c r="S30" i="4"/>
  <c r="U30" i="4" s="1"/>
  <c r="J30" i="4"/>
  <c r="I30" i="1"/>
  <c r="O30" i="1"/>
  <c r="P30" i="1" s="1"/>
  <c r="C31" i="5"/>
  <c r="F31" i="5" s="1"/>
  <c r="G31" i="5"/>
  <c r="B31" i="4" l="1"/>
  <c r="Y30" i="4"/>
  <c r="R30" i="4"/>
  <c r="T30" i="4" s="1"/>
  <c r="V30" i="4" s="1"/>
  <c r="W30" i="4"/>
  <c r="A31" i="4" s="1"/>
  <c r="D31" i="4" s="1"/>
  <c r="S30" i="1"/>
  <c r="U30" i="1" s="1"/>
  <c r="B31" i="1" s="1"/>
  <c r="J30" i="1"/>
  <c r="K30" i="1"/>
  <c r="M30" i="1" s="1"/>
  <c r="N30" i="1" s="1"/>
  <c r="Q30" i="1" s="1"/>
  <c r="E31" i="5"/>
  <c r="H31" i="5" s="1"/>
  <c r="C31" i="4" l="1"/>
  <c r="F31" i="4" s="1"/>
  <c r="R30" i="1"/>
  <c r="T30" i="1" s="1"/>
  <c r="V30" i="1" s="1"/>
  <c r="W30" i="1"/>
  <c r="A31" i="1" s="1"/>
  <c r="O31" i="5"/>
  <c r="P31" i="5" s="1"/>
  <c r="I31" i="5"/>
  <c r="E31" i="4" l="1"/>
  <c r="G31" i="1"/>
  <c r="C31" i="1"/>
  <c r="F31" i="1" s="1"/>
  <c r="J31" i="5"/>
  <c r="K31" i="5"/>
  <c r="M31" i="5" s="1"/>
  <c r="N31" i="5" s="1"/>
  <c r="Q31" i="5" s="1"/>
  <c r="S31" i="5"/>
  <c r="U31" i="5" s="1"/>
  <c r="B32" i="5" s="1"/>
  <c r="H31" i="4" l="1"/>
  <c r="I31" i="4" s="1"/>
  <c r="D31" i="1"/>
  <c r="E31" i="1" s="1"/>
  <c r="H31" i="1" s="1"/>
  <c r="R31" i="5"/>
  <c r="T31" i="5" s="1"/>
  <c r="V31" i="5" s="1"/>
  <c r="W31" i="5"/>
  <c r="A32" i="5" s="1"/>
  <c r="D32" i="5" s="1"/>
  <c r="K31" i="4" l="1"/>
  <c r="M31" i="4" s="1"/>
  <c r="N31" i="4" s="1"/>
  <c r="P31" i="4" s="1"/>
  <c r="J31" i="4"/>
  <c r="I31" i="1"/>
  <c r="O31" i="1"/>
  <c r="P31" i="1" s="1"/>
  <c r="G32" i="5"/>
  <c r="C32" i="5"/>
  <c r="F32" i="5" s="1"/>
  <c r="O31" i="4" l="1"/>
  <c r="Q31" i="4"/>
  <c r="S31" i="4"/>
  <c r="U31" i="4" s="1"/>
  <c r="J31" i="1"/>
  <c r="K31" i="1"/>
  <c r="M31" i="1" s="1"/>
  <c r="N31" i="1" s="1"/>
  <c r="Q31" i="1" s="1"/>
  <c r="S31" i="1"/>
  <c r="U31" i="1" s="1"/>
  <c r="B32" i="1" s="1"/>
  <c r="E32" i="5"/>
  <c r="B32" i="4" l="1"/>
  <c r="Y31" i="4"/>
  <c r="R31" i="4"/>
  <c r="T31" i="4" s="1"/>
  <c r="V31" i="4" s="1"/>
  <c r="W31" i="4"/>
  <c r="A32" i="4" s="1"/>
  <c r="D32" i="4" s="1"/>
  <c r="R31" i="1"/>
  <c r="T31" i="1" s="1"/>
  <c r="V31" i="1" s="1"/>
  <c r="W31" i="1"/>
  <c r="A32" i="1" s="1"/>
  <c r="H32" i="5"/>
  <c r="C32" i="4" l="1"/>
  <c r="F32" i="4" s="1"/>
  <c r="C32" i="1"/>
  <c r="F32" i="1" s="1"/>
  <c r="G32" i="1"/>
  <c r="I32" i="5"/>
  <c r="O32" i="5"/>
  <c r="P32" i="5" s="1"/>
  <c r="E32" i="4" l="1"/>
  <c r="H32" i="4"/>
  <c r="I32" i="4" s="1"/>
  <c r="D32" i="1"/>
  <c r="E32" i="1" s="1"/>
  <c r="H32" i="1" s="1"/>
  <c r="J32" i="5"/>
  <c r="K32" i="5"/>
  <c r="M32" i="5" s="1"/>
  <c r="N32" i="5" s="1"/>
  <c r="Q32" i="5" s="1"/>
  <c r="S32" i="5"/>
  <c r="U32" i="5" s="1"/>
  <c r="B33" i="5" s="1"/>
  <c r="K32" i="4" l="1"/>
  <c r="M32" i="4" s="1"/>
  <c r="N32" i="4" s="1"/>
  <c r="P32" i="4" s="1"/>
  <c r="J32" i="4"/>
  <c r="I32" i="1"/>
  <c r="O32" i="1"/>
  <c r="P32" i="1" s="1"/>
  <c r="R32" i="5"/>
  <c r="T32" i="5" s="1"/>
  <c r="V32" i="5" s="1"/>
  <c r="W32" i="5"/>
  <c r="A33" i="5" s="1"/>
  <c r="D33" i="5" s="1"/>
  <c r="Q32" i="4" l="1"/>
  <c r="O32" i="4"/>
  <c r="S32" i="4"/>
  <c r="U32" i="4" s="1"/>
  <c r="J32" i="1"/>
  <c r="K32" i="1"/>
  <c r="M32" i="1" s="1"/>
  <c r="N32" i="1" s="1"/>
  <c r="Q32" i="1" s="1"/>
  <c r="S32" i="1"/>
  <c r="U32" i="1" s="1"/>
  <c r="B33" i="1" s="1"/>
  <c r="C33" i="5"/>
  <c r="F33" i="5" s="1"/>
  <c r="G33" i="5"/>
  <c r="B33" i="4" l="1"/>
  <c r="Y32" i="4"/>
  <c r="E33" i="5"/>
  <c r="H33" i="5" s="1"/>
  <c r="R32" i="4"/>
  <c r="T32" i="4" s="1"/>
  <c r="V32" i="4" s="1"/>
  <c r="W32" i="4"/>
  <c r="A33" i="4" s="1"/>
  <c r="D33" i="4" s="1"/>
  <c r="R32" i="1"/>
  <c r="T32" i="1" s="1"/>
  <c r="V32" i="1" s="1"/>
  <c r="W32" i="1"/>
  <c r="A33" i="1" s="1"/>
  <c r="C33" i="4" l="1"/>
  <c r="F33" i="4" s="1"/>
  <c r="G33" i="1"/>
  <c r="C33" i="1"/>
  <c r="F33" i="1" s="1"/>
  <c r="O33" i="5"/>
  <c r="P33" i="5" s="1"/>
  <c r="I33" i="5"/>
  <c r="E33" i="4" l="1"/>
  <c r="H33" i="4" s="1"/>
  <c r="I33" i="4" s="1"/>
  <c r="K33" i="4" s="1"/>
  <c r="M33" i="4" s="1"/>
  <c r="D33" i="1"/>
  <c r="E33" i="1" s="1"/>
  <c r="H33" i="1" s="1"/>
  <c r="S33" i="5"/>
  <c r="U33" i="5" s="1"/>
  <c r="B34" i="5" s="1"/>
  <c r="J33" i="5"/>
  <c r="K33" i="5"/>
  <c r="M33" i="5" s="1"/>
  <c r="N33" i="5" s="1"/>
  <c r="Q33" i="5" s="1"/>
  <c r="J33" i="4" l="1"/>
  <c r="N33" i="4"/>
  <c r="P33" i="4" s="1"/>
  <c r="I33" i="1"/>
  <c r="O33" i="1"/>
  <c r="P33" i="1" s="1"/>
  <c r="R33" i="5"/>
  <c r="T33" i="5" s="1"/>
  <c r="V33" i="5" s="1"/>
  <c r="W33" i="5"/>
  <c r="A34" i="5" s="1"/>
  <c r="D34" i="5" s="1"/>
  <c r="S33" i="4" l="1"/>
  <c r="U33" i="4" s="1"/>
  <c r="O33" i="4"/>
  <c r="Q33" i="4"/>
  <c r="S33" i="1"/>
  <c r="U33" i="1" s="1"/>
  <c r="B34" i="1" s="1"/>
  <c r="J33" i="1"/>
  <c r="K33" i="1"/>
  <c r="M33" i="1" s="1"/>
  <c r="N33" i="1" s="1"/>
  <c r="Q33" i="1" s="1"/>
  <c r="G34" i="5"/>
  <c r="C34" i="5"/>
  <c r="F34" i="5" s="1"/>
  <c r="B34" i="4" l="1"/>
  <c r="Y33" i="4"/>
  <c r="R33" i="4"/>
  <c r="T33" i="4" s="1"/>
  <c r="V33" i="4" s="1"/>
  <c r="W33" i="4"/>
  <c r="A34" i="4" s="1"/>
  <c r="D34" i="4" s="1"/>
  <c r="R33" i="1"/>
  <c r="T33" i="1" s="1"/>
  <c r="V33" i="1" s="1"/>
  <c r="W33" i="1"/>
  <c r="A34" i="1" s="1"/>
  <c r="E34" i="5"/>
  <c r="C34" i="4" l="1"/>
  <c r="F34" i="4" s="1"/>
  <c r="C34" i="1"/>
  <c r="F34" i="1" s="1"/>
  <c r="G34" i="1"/>
  <c r="H34" i="5"/>
  <c r="E34" i="4" l="1"/>
  <c r="D34" i="1"/>
  <c r="E34" i="1" s="1"/>
  <c r="H34" i="1" s="1"/>
  <c r="I34" i="5"/>
  <c r="O34" i="5"/>
  <c r="P34" i="5" s="1"/>
  <c r="H34" i="4" l="1"/>
  <c r="I34" i="4" s="1"/>
  <c r="K34" i="4" s="1"/>
  <c r="M34" i="4" s="1"/>
  <c r="I34" i="1"/>
  <c r="O34" i="1"/>
  <c r="P34" i="1" s="1"/>
  <c r="J34" i="5"/>
  <c r="K34" i="5"/>
  <c r="M34" i="5" s="1"/>
  <c r="N34" i="5" s="1"/>
  <c r="Q34" i="5" s="1"/>
  <c r="S34" i="5"/>
  <c r="U34" i="5" s="1"/>
  <c r="B35" i="5" s="1"/>
  <c r="J34" i="4" l="1"/>
  <c r="N34" i="4"/>
  <c r="P34" i="4" s="1"/>
  <c r="S34" i="1"/>
  <c r="U34" i="1" s="1"/>
  <c r="B35" i="1" s="1"/>
  <c r="J34" i="1"/>
  <c r="K34" i="1"/>
  <c r="M34" i="1" s="1"/>
  <c r="N34" i="1" s="1"/>
  <c r="Q34" i="1" s="1"/>
  <c r="R34" i="5"/>
  <c r="T34" i="5" s="1"/>
  <c r="V34" i="5" s="1"/>
  <c r="W34" i="5"/>
  <c r="A35" i="5" s="1"/>
  <c r="D35" i="5" s="1"/>
  <c r="O34" i="4" l="1"/>
  <c r="S34" i="4"/>
  <c r="U34" i="4" s="1"/>
  <c r="Q34" i="4"/>
  <c r="R34" i="1"/>
  <c r="T34" i="1" s="1"/>
  <c r="V34" i="1" s="1"/>
  <c r="W34" i="1"/>
  <c r="A35" i="1" s="1"/>
  <c r="C35" i="5"/>
  <c r="F35" i="5" s="1"/>
  <c r="G35" i="5"/>
  <c r="B35" i="4" l="1"/>
  <c r="Y34" i="4"/>
  <c r="E35" i="5"/>
  <c r="H35" i="5" s="1"/>
  <c r="R34" i="4"/>
  <c r="T34" i="4" s="1"/>
  <c r="V34" i="4" s="1"/>
  <c r="W34" i="4"/>
  <c r="A35" i="4" s="1"/>
  <c r="D35" i="4" s="1"/>
  <c r="G35" i="1"/>
  <c r="C35" i="1"/>
  <c r="F35" i="1" s="1"/>
  <c r="C35" i="4" l="1"/>
  <c r="F35" i="4" s="1"/>
  <c r="D35" i="1"/>
  <c r="E35" i="1" s="1"/>
  <c r="H35" i="1" s="1"/>
  <c r="I35" i="5"/>
  <c r="O35" i="5"/>
  <c r="P35" i="5" s="1"/>
  <c r="E35" i="4" l="1"/>
  <c r="H35" i="4"/>
  <c r="I35" i="4" s="1"/>
  <c r="K35" i="4" s="1"/>
  <c r="M35" i="4" s="1"/>
  <c r="I35" i="1"/>
  <c r="O35" i="1"/>
  <c r="P35" i="1" s="1"/>
  <c r="S35" i="5"/>
  <c r="U35" i="5" s="1"/>
  <c r="B36" i="5" s="1"/>
  <c r="J35" i="5"/>
  <c r="K35" i="5"/>
  <c r="M35" i="5" s="1"/>
  <c r="N35" i="5" s="1"/>
  <c r="Q35" i="5" s="1"/>
  <c r="J35" i="4" l="1"/>
  <c r="N35" i="4"/>
  <c r="P35" i="4" s="1"/>
  <c r="S35" i="1"/>
  <c r="U35" i="1" s="1"/>
  <c r="B36" i="1" s="1"/>
  <c r="J35" i="1"/>
  <c r="K35" i="1"/>
  <c r="M35" i="1" s="1"/>
  <c r="N35" i="1" s="1"/>
  <c r="Q35" i="1" s="1"/>
  <c r="R35" i="5"/>
  <c r="T35" i="5" s="1"/>
  <c r="V35" i="5" s="1"/>
  <c r="W35" i="5"/>
  <c r="A36" i="5" s="1"/>
  <c r="C36" i="5" l="1"/>
  <c r="F36" i="5" s="1"/>
  <c r="D36" i="5"/>
  <c r="E36" i="5" s="1"/>
  <c r="G36" i="5"/>
  <c r="O35" i="4"/>
  <c r="S35" i="4"/>
  <c r="U35" i="4" s="1"/>
  <c r="Q35" i="4"/>
  <c r="R35" i="1"/>
  <c r="T35" i="1" s="1"/>
  <c r="V35" i="1" s="1"/>
  <c r="W35" i="1"/>
  <c r="A36" i="1" s="1"/>
  <c r="H36" i="5" l="1"/>
  <c r="B36" i="4"/>
  <c r="Y35" i="4"/>
  <c r="R35" i="4"/>
  <c r="T35" i="4" s="1"/>
  <c r="V35" i="4" s="1"/>
  <c r="W35" i="4"/>
  <c r="A36" i="4" s="1"/>
  <c r="D36" i="4" s="1"/>
  <c r="C36" i="1"/>
  <c r="F36" i="1" s="1"/>
  <c r="G36" i="1"/>
  <c r="I36" i="5" l="1"/>
  <c r="O36" i="5"/>
  <c r="P36" i="5" s="1"/>
  <c r="S36" i="5" s="1"/>
  <c r="U36" i="5" s="1"/>
  <c r="B37" i="5" s="1"/>
  <c r="C36" i="4"/>
  <c r="F36" i="4" s="1"/>
  <c r="D36" i="1"/>
  <c r="E36" i="1" s="1"/>
  <c r="J36" i="5" l="1"/>
  <c r="K36" i="5"/>
  <c r="M36" i="5" s="1"/>
  <c r="N36" i="5" s="1"/>
  <c r="Q36" i="5" s="1"/>
  <c r="E36" i="4"/>
  <c r="H36" i="1"/>
  <c r="R36" i="5" l="1"/>
  <c r="T36" i="5" s="1"/>
  <c r="V36" i="5" s="1"/>
  <c r="W36" i="5"/>
  <c r="A37" i="5" s="1"/>
  <c r="H36" i="4"/>
  <c r="I36" i="4" s="1"/>
  <c r="K36" i="4" s="1"/>
  <c r="M36" i="4" s="1"/>
  <c r="O36" i="1"/>
  <c r="P36" i="1" s="1"/>
  <c r="I36" i="1"/>
  <c r="C37" i="5" l="1"/>
  <c r="F37" i="5" s="1"/>
  <c r="G37" i="5"/>
  <c r="D37" i="5"/>
  <c r="E37" i="5" s="1"/>
  <c r="J36" i="4"/>
  <c r="N36" i="4"/>
  <c r="P36" i="4" s="1"/>
  <c r="J36" i="1"/>
  <c r="K36" i="1"/>
  <c r="M36" i="1" s="1"/>
  <c r="N36" i="1" s="1"/>
  <c r="Q36" i="1" s="1"/>
  <c r="S36" i="1"/>
  <c r="U36" i="1" s="1"/>
  <c r="B37" i="1" s="1"/>
  <c r="H37" i="5" l="1"/>
  <c r="O36" i="4"/>
  <c r="S36" i="4"/>
  <c r="U36" i="4" s="1"/>
  <c r="Q36" i="4"/>
  <c r="R36" i="1"/>
  <c r="T36" i="1" s="1"/>
  <c r="V36" i="1" s="1"/>
  <c r="W36" i="1"/>
  <c r="A37" i="1" s="1"/>
  <c r="O37" i="5" l="1"/>
  <c r="P37" i="5" s="1"/>
  <c r="S37" i="5" s="1"/>
  <c r="U37" i="5" s="1"/>
  <c r="B38" i="5" s="1"/>
  <c r="I37" i="5"/>
  <c r="B37" i="4"/>
  <c r="Y36" i="4"/>
  <c r="R36" i="4"/>
  <c r="T36" i="4" s="1"/>
  <c r="V36" i="4" s="1"/>
  <c r="W36" i="4"/>
  <c r="A37" i="4" s="1"/>
  <c r="D37" i="4" s="1"/>
  <c r="G37" i="1"/>
  <c r="C37" i="1"/>
  <c r="F37" i="1" s="1"/>
  <c r="J37" i="5" l="1"/>
  <c r="K37" i="5"/>
  <c r="M37" i="5" s="1"/>
  <c r="N37" i="5" s="1"/>
  <c r="Q37" i="5" s="1"/>
  <c r="C37" i="4"/>
  <c r="F37" i="4" s="1"/>
  <c r="D37" i="1"/>
  <c r="E37" i="1" s="1"/>
  <c r="R37" i="5" l="1"/>
  <c r="T37" i="5" s="1"/>
  <c r="V37" i="5" s="1"/>
  <c r="W37" i="5"/>
  <c r="A38" i="5" s="1"/>
  <c r="E37" i="4"/>
  <c r="H37" i="1"/>
  <c r="C38" i="5" l="1"/>
  <c r="F38" i="5" s="1"/>
  <c r="D38" i="5"/>
  <c r="E38" i="5" s="1"/>
  <c r="G38" i="5"/>
  <c r="H37" i="4"/>
  <c r="I37" i="4" s="1"/>
  <c r="I37" i="1"/>
  <c r="O37" i="1"/>
  <c r="P37" i="1" s="1"/>
  <c r="H38" i="5" l="1"/>
  <c r="K37" i="4"/>
  <c r="M37" i="4" s="1"/>
  <c r="N37" i="4" s="1"/>
  <c r="P37" i="4" s="1"/>
  <c r="J37" i="4"/>
  <c r="S37" i="1"/>
  <c r="U37" i="1" s="1"/>
  <c r="B38" i="1" s="1"/>
  <c r="J37" i="1"/>
  <c r="K37" i="1"/>
  <c r="M37" i="1" s="1"/>
  <c r="N37" i="1" s="1"/>
  <c r="Q37" i="1" s="1"/>
  <c r="I38" i="5" l="1"/>
  <c r="O38" i="5"/>
  <c r="P38" i="5" s="1"/>
  <c r="S38" i="5" s="1"/>
  <c r="U38" i="5" s="1"/>
  <c r="B39" i="5" s="1"/>
  <c r="O37" i="4"/>
  <c r="Q37" i="4"/>
  <c r="S37" i="4"/>
  <c r="U37" i="4" s="1"/>
  <c r="R37" i="1"/>
  <c r="T37" i="1" s="1"/>
  <c r="V37" i="1" s="1"/>
  <c r="W37" i="1"/>
  <c r="A38" i="1" s="1"/>
  <c r="J38" i="5" l="1"/>
  <c r="K38" i="5"/>
  <c r="M38" i="5" s="1"/>
  <c r="N38" i="5" s="1"/>
  <c r="Q38" i="5" s="1"/>
  <c r="B38" i="4"/>
  <c r="Y37" i="4"/>
  <c r="R37" i="4"/>
  <c r="T37" i="4" s="1"/>
  <c r="V37" i="4" s="1"/>
  <c r="W37" i="4"/>
  <c r="A38" i="4" s="1"/>
  <c r="D38" i="4" s="1"/>
  <c r="C38" i="1"/>
  <c r="F38" i="1" s="1"/>
  <c r="G38" i="1"/>
  <c r="R38" i="5" l="1"/>
  <c r="T38" i="5" s="1"/>
  <c r="V38" i="5" s="1"/>
  <c r="W38" i="5"/>
  <c r="A39" i="5" s="1"/>
  <c r="C38" i="4"/>
  <c r="F38" i="4" s="1"/>
  <c r="D38" i="1"/>
  <c r="E38" i="1" s="1"/>
  <c r="D39" i="5" l="1"/>
  <c r="G39" i="5"/>
  <c r="C39" i="5"/>
  <c r="F39" i="5" s="1"/>
  <c r="E38" i="4"/>
  <c r="H38" i="4" s="1"/>
  <c r="I38" i="4" s="1"/>
  <c r="H38" i="1"/>
  <c r="E39" i="5" l="1"/>
  <c r="K38" i="4"/>
  <c r="M38" i="4" s="1"/>
  <c r="N38" i="4" s="1"/>
  <c r="P38" i="4" s="1"/>
  <c r="J38" i="4"/>
  <c r="O38" i="1"/>
  <c r="P38" i="1" s="1"/>
  <c r="I38" i="1"/>
  <c r="H39" i="5" l="1"/>
  <c r="O38" i="4"/>
  <c r="Q38" i="4"/>
  <c r="S38" i="4"/>
  <c r="U38" i="4" s="1"/>
  <c r="J38" i="1"/>
  <c r="K38" i="1"/>
  <c r="M38" i="1" s="1"/>
  <c r="N38" i="1" s="1"/>
  <c r="Q38" i="1" s="1"/>
  <c r="S38" i="1"/>
  <c r="U38" i="1" s="1"/>
  <c r="B39" i="1" s="1"/>
  <c r="I39" i="5" l="1"/>
  <c r="O39" i="5"/>
  <c r="P39" i="5" s="1"/>
  <c r="S39" i="5" s="1"/>
  <c r="U39" i="5" s="1"/>
  <c r="B40" i="5" s="1"/>
  <c r="B39" i="4"/>
  <c r="Y38" i="4"/>
  <c r="R38" i="4"/>
  <c r="T38" i="4" s="1"/>
  <c r="V38" i="4" s="1"/>
  <c r="W38" i="4"/>
  <c r="A39" i="4" s="1"/>
  <c r="D39" i="4" s="1"/>
  <c r="R38" i="1"/>
  <c r="T38" i="1" s="1"/>
  <c r="V38" i="1" s="1"/>
  <c r="W38" i="1"/>
  <c r="A39" i="1" s="1"/>
  <c r="J39" i="5" l="1"/>
  <c r="K39" i="5"/>
  <c r="M39" i="5" s="1"/>
  <c r="N39" i="5" s="1"/>
  <c r="Q39" i="5" s="1"/>
  <c r="C39" i="4"/>
  <c r="F39" i="4" s="1"/>
  <c r="G39" i="1"/>
  <c r="C39" i="1"/>
  <c r="F39" i="1" s="1"/>
  <c r="R39" i="5" l="1"/>
  <c r="T39" i="5" s="1"/>
  <c r="V39" i="5" s="1"/>
  <c r="W39" i="5"/>
  <c r="A40" i="5" s="1"/>
  <c r="E39" i="4"/>
  <c r="H39" i="4"/>
  <c r="I39" i="4" s="1"/>
  <c r="D39" i="1"/>
  <c r="E39" i="1" s="1"/>
  <c r="H39" i="1" s="1"/>
  <c r="C40" i="5" l="1"/>
  <c r="F40" i="5" s="1"/>
  <c r="G40" i="5"/>
  <c r="D40" i="5"/>
  <c r="E40" i="5" s="1"/>
  <c r="K39" i="4"/>
  <c r="M39" i="4" s="1"/>
  <c r="N39" i="4" s="1"/>
  <c r="P39" i="4" s="1"/>
  <c r="J39" i="4"/>
  <c r="I39" i="1"/>
  <c r="O39" i="1"/>
  <c r="P39" i="1" s="1"/>
  <c r="H40" i="5" l="1"/>
  <c r="O39" i="4"/>
  <c r="Q39" i="4"/>
  <c r="S39" i="4"/>
  <c r="U39" i="4" s="1"/>
  <c r="S39" i="1"/>
  <c r="U39" i="1" s="1"/>
  <c r="B40" i="1" s="1"/>
  <c r="J39" i="1"/>
  <c r="K39" i="1"/>
  <c r="M39" i="1" s="1"/>
  <c r="N39" i="1" s="1"/>
  <c r="Q39" i="1" s="1"/>
  <c r="I40" i="5" l="1"/>
  <c r="O40" i="5"/>
  <c r="P40" i="5" s="1"/>
  <c r="S40" i="5" s="1"/>
  <c r="U40" i="5" s="1"/>
  <c r="B41" i="5" s="1"/>
  <c r="B40" i="4"/>
  <c r="Y39" i="4"/>
  <c r="R39" i="4"/>
  <c r="T39" i="4" s="1"/>
  <c r="V39" i="4" s="1"/>
  <c r="W39" i="4"/>
  <c r="A40" i="4" s="1"/>
  <c r="D40" i="4" s="1"/>
  <c r="R39" i="1"/>
  <c r="T39" i="1" s="1"/>
  <c r="V39" i="1" s="1"/>
  <c r="W39" i="1"/>
  <c r="A40" i="1" s="1"/>
  <c r="J40" i="5" l="1"/>
  <c r="K40" i="5"/>
  <c r="M40" i="5" s="1"/>
  <c r="N40" i="5" s="1"/>
  <c r="Q40" i="5" s="1"/>
  <c r="C40" i="4"/>
  <c r="F40" i="4" s="1"/>
  <c r="C40" i="1"/>
  <c r="F40" i="1" s="1"/>
  <c r="G40" i="1"/>
  <c r="R40" i="5" l="1"/>
  <c r="T40" i="5" s="1"/>
  <c r="V40" i="5" s="1"/>
  <c r="W40" i="5"/>
  <c r="A41" i="5" s="1"/>
  <c r="E40" i="4"/>
  <c r="H40" i="4"/>
  <c r="I40" i="4" s="1"/>
  <c r="K40" i="4" s="1"/>
  <c r="M40" i="4" s="1"/>
  <c r="N40" i="4" s="1"/>
  <c r="P40" i="4" s="1"/>
  <c r="D40" i="1"/>
  <c r="E40" i="1" s="1"/>
  <c r="C41" i="5" l="1"/>
  <c r="F41" i="5" s="1"/>
  <c r="G41" i="5"/>
  <c r="D41" i="5"/>
  <c r="E41" i="5" s="1"/>
  <c r="O40" i="4"/>
  <c r="Q40" i="4"/>
  <c r="S40" i="4"/>
  <c r="U40" i="4" s="1"/>
  <c r="J40" i="4"/>
  <c r="H40" i="1"/>
  <c r="H41" i="5" l="1"/>
  <c r="B41" i="4"/>
  <c r="Y40" i="4"/>
  <c r="R40" i="4"/>
  <c r="T40" i="4" s="1"/>
  <c r="V40" i="4" s="1"/>
  <c r="W40" i="4"/>
  <c r="A41" i="4" s="1"/>
  <c r="D41" i="4" s="1"/>
  <c r="O40" i="1"/>
  <c r="P40" i="1" s="1"/>
  <c r="I40" i="1"/>
  <c r="O41" i="5" l="1"/>
  <c r="P41" i="5" s="1"/>
  <c r="S41" i="5" s="1"/>
  <c r="U41" i="5" s="1"/>
  <c r="B42" i="5" s="1"/>
  <c r="I41" i="5"/>
  <c r="C41" i="4"/>
  <c r="F41" i="4" s="1"/>
  <c r="J40" i="1"/>
  <c r="K40" i="1"/>
  <c r="M40" i="1" s="1"/>
  <c r="N40" i="1" s="1"/>
  <c r="Q40" i="1" s="1"/>
  <c r="S40" i="1"/>
  <c r="U40" i="1" s="1"/>
  <c r="B41" i="1" s="1"/>
  <c r="J41" i="5" l="1"/>
  <c r="K41" i="5"/>
  <c r="M41" i="5" s="1"/>
  <c r="N41" i="5" s="1"/>
  <c r="Q41" i="5" s="1"/>
  <c r="E41" i="4"/>
  <c r="H41" i="4" s="1"/>
  <c r="I41" i="4" s="1"/>
  <c r="K41" i="4" s="1"/>
  <c r="M41" i="4" s="1"/>
  <c r="R40" i="1"/>
  <c r="T40" i="1" s="1"/>
  <c r="V40" i="1" s="1"/>
  <c r="W40" i="1"/>
  <c r="A41" i="1" s="1"/>
  <c r="R41" i="5" l="1"/>
  <c r="T41" i="5" s="1"/>
  <c r="V41" i="5" s="1"/>
  <c r="W41" i="5"/>
  <c r="A42" i="5" s="1"/>
  <c r="J41" i="4"/>
  <c r="N41" i="4"/>
  <c r="P41" i="4" s="1"/>
  <c r="C41" i="1"/>
  <c r="F41" i="1" s="1"/>
  <c r="G42" i="5" l="1"/>
  <c r="C42" i="5"/>
  <c r="F42" i="5" s="1"/>
  <c r="D42" i="5"/>
  <c r="E42" i="5" s="1"/>
  <c r="D41" i="1"/>
  <c r="E41" i="1" s="1"/>
  <c r="O41" i="4"/>
  <c r="Q41" i="4"/>
  <c r="S41" i="4"/>
  <c r="U41" i="4" s="1"/>
  <c r="H42" i="5" l="1"/>
  <c r="B42" i="4"/>
  <c r="Y41" i="4"/>
  <c r="R41" i="4"/>
  <c r="T41" i="4" s="1"/>
  <c r="V41" i="4" s="1"/>
  <c r="W41" i="4"/>
  <c r="A42" i="4" s="1"/>
  <c r="D42" i="4" s="1"/>
  <c r="H41" i="1"/>
  <c r="O42" i="5" l="1"/>
  <c r="P42" i="5" s="1"/>
  <c r="S42" i="5" s="1"/>
  <c r="U42" i="5" s="1"/>
  <c r="B43" i="5" s="1"/>
  <c r="I42" i="5"/>
  <c r="C42" i="4"/>
  <c r="F42" i="4" s="1"/>
  <c r="I41" i="1"/>
  <c r="O41" i="1"/>
  <c r="P41" i="1" s="1"/>
  <c r="J42" i="5" l="1"/>
  <c r="K42" i="5"/>
  <c r="M42" i="5" s="1"/>
  <c r="N42" i="5" s="1"/>
  <c r="Q42" i="5" s="1"/>
  <c r="E42" i="4"/>
  <c r="H42" i="4"/>
  <c r="I42" i="4" s="1"/>
  <c r="S41" i="1"/>
  <c r="U41" i="1" s="1"/>
  <c r="B42" i="1" s="1"/>
  <c r="J41" i="1"/>
  <c r="K41" i="1"/>
  <c r="M41" i="1" s="1"/>
  <c r="N41" i="1" s="1"/>
  <c r="Q41" i="1" s="1"/>
  <c r="R42" i="5" l="1"/>
  <c r="T42" i="5" s="1"/>
  <c r="V42" i="5" s="1"/>
  <c r="W42" i="5"/>
  <c r="A43" i="5" s="1"/>
  <c r="K42" i="4"/>
  <c r="M42" i="4" s="1"/>
  <c r="N42" i="4" s="1"/>
  <c r="P42" i="4" s="1"/>
  <c r="J42" i="4"/>
  <c r="R41" i="1"/>
  <c r="T41" i="1" s="1"/>
  <c r="V41" i="1" s="1"/>
  <c r="W41" i="1"/>
  <c r="A42" i="1" s="1"/>
  <c r="C43" i="5" l="1"/>
  <c r="F43" i="5" s="1"/>
  <c r="D43" i="5"/>
  <c r="E43" i="5" s="1"/>
  <c r="G43" i="5"/>
  <c r="O42" i="4"/>
  <c r="Q42" i="4"/>
  <c r="S42" i="4"/>
  <c r="U42" i="4" s="1"/>
  <c r="C42" i="1"/>
  <c r="F42" i="1" s="1"/>
  <c r="G42" i="1"/>
  <c r="H43" i="5" l="1"/>
  <c r="B43" i="4"/>
  <c r="Y42" i="4"/>
  <c r="R42" i="4"/>
  <c r="T42" i="4" s="1"/>
  <c r="V42" i="4" s="1"/>
  <c r="W42" i="4"/>
  <c r="A43" i="4" s="1"/>
  <c r="D43" i="4" s="1"/>
  <c r="D42" i="1"/>
  <c r="E42" i="1" s="1"/>
  <c r="H42" i="1" s="1"/>
  <c r="O43" i="5" l="1"/>
  <c r="P43" i="5" s="1"/>
  <c r="S43" i="5" s="1"/>
  <c r="U43" i="5" s="1"/>
  <c r="B44" i="5" s="1"/>
  <c r="I43" i="5"/>
  <c r="C43" i="4"/>
  <c r="F43" i="4" s="1"/>
  <c r="O42" i="1"/>
  <c r="P42" i="1" s="1"/>
  <c r="I42" i="1"/>
  <c r="J43" i="5" l="1"/>
  <c r="K43" i="5"/>
  <c r="M43" i="5" s="1"/>
  <c r="N43" i="5" s="1"/>
  <c r="Q43" i="5" s="1"/>
  <c r="E43" i="4"/>
  <c r="H43" i="4" s="1"/>
  <c r="I43" i="4" s="1"/>
  <c r="J42" i="1"/>
  <c r="K42" i="1"/>
  <c r="M42" i="1" s="1"/>
  <c r="N42" i="1" s="1"/>
  <c r="Q42" i="1" s="1"/>
  <c r="S42" i="1"/>
  <c r="U42" i="1" s="1"/>
  <c r="B43" i="1" s="1"/>
  <c r="R43" i="5" l="1"/>
  <c r="T43" i="5" s="1"/>
  <c r="V43" i="5" s="1"/>
  <c r="W43" i="5"/>
  <c r="A44" i="5" s="1"/>
  <c r="K43" i="4"/>
  <c r="M43" i="4" s="1"/>
  <c r="N43" i="4" s="1"/>
  <c r="P43" i="4" s="1"/>
  <c r="J43" i="4"/>
  <c r="R42" i="1"/>
  <c r="T42" i="1" s="1"/>
  <c r="V42" i="1" s="1"/>
  <c r="W42" i="1"/>
  <c r="A43" i="1" s="1"/>
  <c r="C44" i="5" l="1"/>
  <c r="F44" i="5" s="1"/>
  <c r="D44" i="5"/>
  <c r="E44" i="5" s="1"/>
  <c r="G44" i="5"/>
  <c r="O43" i="4"/>
  <c r="Q43" i="4"/>
  <c r="S43" i="4"/>
  <c r="U43" i="4" s="1"/>
  <c r="G43" i="1"/>
  <c r="C43" i="1"/>
  <c r="F43" i="1" s="1"/>
  <c r="H44" i="5" l="1"/>
  <c r="B44" i="4"/>
  <c r="Y43" i="4"/>
  <c r="R43" i="4"/>
  <c r="T43" i="4" s="1"/>
  <c r="V43" i="4" s="1"/>
  <c r="W43" i="4"/>
  <c r="A44" i="4" s="1"/>
  <c r="D44" i="4" s="1"/>
  <c r="D43" i="1"/>
  <c r="E43" i="1" s="1"/>
  <c r="H43" i="1" s="1"/>
  <c r="I44" i="5" l="1"/>
  <c r="O44" i="5"/>
  <c r="P44" i="5" s="1"/>
  <c r="S44" i="5" s="1"/>
  <c r="U44" i="5" s="1"/>
  <c r="B45" i="5" s="1"/>
  <c r="C44" i="4"/>
  <c r="F44" i="4" s="1"/>
  <c r="I43" i="1"/>
  <c r="O43" i="1"/>
  <c r="P43" i="1" s="1"/>
  <c r="J44" i="5" l="1"/>
  <c r="K44" i="5"/>
  <c r="M44" i="5" s="1"/>
  <c r="N44" i="5" s="1"/>
  <c r="Q44" i="5" s="1"/>
  <c r="E44" i="4"/>
  <c r="S43" i="1"/>
  <c r="U43" i="1" s="1"/>
  <c r="B44" i="1" s="1"/>
  <c r="J43" i="1"/>
  <c r="K43" i="1"/>
  <c r="M43" i="1" s="1"/>
  <c r="N43" i="1" s="1"/>
  <c r="Q43" i="1" s="1"/>
  <c r="R44" i="5" l="1"/>
  <c r="T44" i="5" s="1"/>
  <c r="V44" i="5" s="1"/>
  <c r="W44" i="5"/>
  <c r="A45" i="5" s="1"/>
  <c r="H44" i="4"/>
  <c r="I44" i="4" s="1"/>
  <c r="K44" i="4" s="1"/>
  <c r="M44" i="4" s="1"/>
  <c r="R43" i="1"/>
  <c r="T43" i="1" s="1"/>
  <c r="V43" i="1" s="1"/>
  <c r="W43" i="1"/>
  <c r="A44" i="1" s="1"/>
  <c r="D45" i="5" l="1"/>
  <c r="C45" i="5"/>
  <c r="F45" i="5" s="1"/>
  <c r="G45" i="5"/>
  <c r="J44" i="4"/>
  <c r="N44" i="4"/>
  <c r="P44" i="4" s="1"/>
  <c r="C44" i="1"/>
  <c r="F44" i="1" s="1"/>
  <c r="G44" i="1"/>
  <c r="E45" i="5" l="1"/>
  <c r="O44" i="4"/>
  <c r="Q44" i="4"/>
  <c r="S44" i="4"/>
  <c r="U44" i="4" s="1"/>
  <c r="D44" i="1"/>
  <c r="E44" i="1" s="1"/>
  <c r="H45" i="5" l="1"/>
  <c r="B45" i="4"/>
  <c r="Y44" i="4"/>
  <c r="R44" i="4"/>
  <c r="T44" i="4" s="1"/>
  <c r="V44" i="4" s="1"/>
  <c r="W44" i="4"/>
  <c r="A45" i="4" s="1"/>
  <c r="D45" i="4" s="1"/>
  <c r="H44" i="1"/>
  <c r="O45" i="5" l="1"/>
  <c r="P45" i="5" s="1"/>
  <c r="S45" i="5" s="1"/>
  <c r="U45" i="5" s="1"/>
  <c r="I45" i="5"/>
  <c r="C45" i="4"/>
  <c r="F45" i="4" s="1"/>
  <c r="O44" i="1"/>
  <c r="P44" i="1" s="1"/>
  <c r="I44" i="1"/>
  <c r="J45" i="5" l="1"/>
  <c r="K45" i="5"/>
  <c r="M45" i="5" s="1"/>
  <c r="N45" i="5" s="1"/>
  <c r="Q45" i="5" s="1"/>
  <c r="E45" i="4"/>
  <c r="J44" i="1"/>
  <c r="K44" i="1"/>
  <c r="M44" i="1" s="1"/>
  <c r="N44" i="1" s="1"/>
  <c r="Q44" i="1" s="1"/>
  <c r="S44" i="1"/>
  <c r="U44" i="1" s="1"/>
  <c r="B45" i="1" s="1"/>
  <c r="R45" i="5" l="1"/>
  <c r="T45" i="5" s="1"/>
  <c r="V45" i="5" s="1"/>
  <c r="W45" i="5"/>
  <c r="H45" i="4"/>
  <c r="I45" i="4" s="1"/>
  <c r="R44" i="1"/>
  <c r="T44" i="1" s="1"/>
  <c r="V44" i="1" s="1"/>
  <c r="W44" i="1"/>
  <c r="A45" i="1" s="1"/>
  <c r="K45" i="4" l="1"/>
  <c r="M45" i="4" s="1"/>
  <c r="N45" i="4" s="1"/>
  <c r="P45" i="4" s="1"/>
  <c r="J45" i="4"/>
  <c r="G45" i="1"/>
  <c r="C45" i="1"/>
  <c r="F45" i="1" s="1"/>
  <c r="O45" i="4" l="1"/>
  <c r="Q45" i="4"/>
  <c r="S45" i="4"/>
  <c r="U45" i="4" s="1"/>
  <c r="Y45" i="4" s="1"/>
  <c r="D45" i="1"/>
  <c r="E45" i="1" s="1"/>
  <c r="H45" i="1" s="1"/>
  <c r="R45" i="4" l="1"/>
  <c r="T45" i="4" s="1"/>
  <c r="V45" i="4" s="1"/>
  <c r="W45" i="4"/>
  <c r="O45" i="1"/>
  <c r="P45" i="1" s="1"/>
  <c r="I45" i="1"/>
  <c r="J45" i="1" l="1"/>
  <c r="K45" i="1"/>
  <c r="M45" i="1" s="1"/>
  <c r="N45" i="1" s="1"/>
  <c r="Q45" i="1" s="1"/>
  <c r="S45" i="1"/>
  <c r="U45" i="1" s="1"/>
  <c r="B46" i="1" s="1"/>
  <c r="R45" i="1" l="1"/>
  <c r="T45" i="1" s="1"/>
  <c r="V45" i="1" s="1"/>
  <c r="W45" i="1"/>
  <c r="A46" i="1" s="1"/>
  <c r="G46" i="1" l="1"/>
  <c r="C46" i="1"/>
  <c r="F46" i="1" s="1"/>
  <c r="D46" i="1"/>
  <c r="E46" i="1" s="1"/>
  <c r="H46" i="1" l="1"/>
  <c r="O46" i="1" l="1"/>
  <c r="P46" i="1" s="1"/>
  <c r="S46" i="1" s="1"/>
  <c r="U46" i="1" s="1"/>
  <c r="B47" i="1" s="1"/>
  <c r="I46" i="1"/>
  <c r="J46" i="1" l="1"/>
  <c r="K46" i="1"/>
  <c r="M46" i="1" s="1"/>
  <c r="N46" i="1" s="1"/>
  <c r="Q46" i="1" s="1"/>
  <c r="R46" i="1" l="1"/>
  <c r="T46" i="1" s="1"/>
  <c r="V46" i="1" s="1"/>
  <c r="W46" i="1"/>
  <c r="A47" i="1" s="1"/>
  <c r="G47" i="1" l="1"/>
  <c r="C47" i="1"/>
  <c r="F47" i="1" s="1"/>
  <c r="D47" i="1"/>
  <c r="E47" i="1" s="1"/>
  <c r="H47" i="1" l="1"/>
  <c r="O47" i="1" l="1"/>
  <c r="P47" i="1" s="1"/>
  <c r="S47" i="1" s="1"/>
  <c r="U47" i="1" s="1"/>
  <c r="B48" i="1" s="1"/>
  <c r="I47" i="1"/>
  <c r="J47" i="1" l="1"/>
  <c r="K47" i="1"/>
  <c r="M47" i="1" s="1"/>
  <c r="N47" i="1" s="1"/>
  <c r="Q47" i="1" s="1"/>
  <c r="R47" i="1" l="1"/>
  <c r="T47" i="1" s="1"/>
  <c r="V47" i="1" s="1"/>
  <c r="W47" i="1"/>
  <c r="A48" i="1" s="1"/>
  <c r="G48" i="1" l="1"/>
  <c r="C48" i="1"/>
  <c r="F48" i="1" s="1"/>
  <c r="D48" i="1" l="1"/>
  <c r="E48" i="1"/>
  <c r="H48" i="1" l="1"/>
  <c r="I48" i="1" l="1"/>
  <c r="O48" i="1"/>
  <c r="P48" i="1" s="1"/>
  <c r="S48" i="1" s="1"/>
  <c r="U48" i="1" s="1"/>
  <c r="B49" i="1" s="1"/>
  <c r="J48" i="1" l="1"/>
  <c r="K48" i="1"/>
  <c r="M48" i="1" s="1"/>
  <c r="N48" i="1" s="1"/>
  <c r="Q48" i="1" s="1"/>
  <c r="R48" i="1" l="1"/>
  <c r="T48" i="1" s="1"/>
  <c r="V48" i="1" s="1"/>
  <c r="W48" i="1"/>
  <c r="A49" i="1" s="1"/>
  <c r="G49" i="1" l="1"/>
  <c r="C49" i="1"/>
  <c r="F49" i="1" s="1"/>
  <c r="D49" i="1" l="1"/>
  <c r="E49" i="1"/>
  <c r="H49" i="1" s="1"/>
  <c r="I49" i="1" l="1"/>
  <c r="O49" i="1"/>
  <c r="P49" i="1" s="1"/>
  <c r="S49" i="1" s="1"/>
  <c r="U49" i="1" s="1"/>
  <c r="B50" i="1" s="1"/>
  <c r="J49" i="1" l="1"/>
  <c r="K49" i="1"/>
  <c r="M49" i="1" s="1"/>
  <c r="N49" i="1" s="1"/>
  <c r="Q49" i="1" s="1"/>
  <c r="R49" i="1" l="1"/>
  <c r="T49" i="1" s="1"/>
  <c r="V49" i="1" s="1"/>
  <c r="W49" i="1"/>
  <c r="A50" i="1" s="1"/>
  <c r="C50" i="1" l="1"/>
  <c r="F50" i="1" s="1"/>
  <c r="D50" i="1"/>
  <c r="E50" i="1" s="1"/>
  <c r="G50" i="1"/>
  <c r="H50" i="1" l="1"/>
  <c r="I50" i="1" l="1"/>
  <c r="O50" i="1"/>
  <c r="P50" i="1" s="1"/>
  <c r="S50" i="1" s="1"/>
  <c r="U50" i="1" s="1"/>
  <c r="J50" i="1" l="1"/>
  <c r="K50" i="1"/>
  <c r="M50" i="1" s="1"/>
  <c r="N50" i="1" s="1"/>
  <c r="Q50" i="1" s="1"/>
  <c r="R50" i="1" l="1"/>
  <c r="T50" i="1" s="1"/>
  <c r="V50" i="1" s="1"/>
  <c r="W50" i="1"/>
</calcChain>
</file>

<file path=xl/sharedStrings.xml><?xml version="1.0" encoding="utf-8"?>
<sst xmlns="http://schemas.openxmlformats.org/spreadsheetml/2006/main" count="207" uniqueCount="86">
  <si>
    <t>Mass</t>
  </si>
  <si>
    <t>Altitude</t>
  </si>
  <si>
    <t>Wing area</t>
  </si>
  <si>
    <t>Drag coef.</t>
  </si>
  <si>
    <t>Lift coef.</t>
  </si>
  <si>
    <t>Aspect ratio</t>
  </si>
  <si>
    <t>Drag</t>
  </si>
  <si>
    <t>Thrust</t>
  </si>
  <si>
    <t>dh/dt</t>
  </si>
  <si>
    <t>dW/dt</t>
  </si>
  <si>
    <t>Distance</t>
  </si>
  <si>
    <t>New mass</t>
  </si>
  <si>
    <t>Cumulative distance</t>
  </si>
  <si>
    <t>Air density</t>
  </si>
  <si>
    <t>Speed of sound</t>
  </si>
  <si>
    <t>TSFC</t>
  </si>
  <si>
    <t>T</t>
  </si>
  <si>
    <t>Thrust (N)</t>
  </si>
  <si>
    <t>Velocity (M)</t>
  </si>
  <si>
    <t>m^2</t>
  </si>
  <si>
    <t>Empty weight</t>
  </si>
  <si>
    <t>kg</t>
  </si>
  <si>
    <t>Payload</t>
  </si>
  <si>
    <t>Fuel</t>
  </si>
  <si>
    <t>l</t>
  </si>
  <si>
    <t>Kg</t>
  </si>
  <si>
    <t>e</t>
  </si>
  <si>
    <t>Cdrag_0</t>
  </si>
  <si>
    <t>Cumulative altitude</t>
  </si>
  <si>
    <t>T0</t>
  </si>
  <si>
    <t>K</t>
  </si>
  <si>
    <t>Reference temperature at sea level</t>
  </si>
  <si>
    <t>λ</t>
  </si>
  <si>
    <t>K/m</t>
  </si>
  <si>
    <t>temperature lapse rate</t>
  </si>
  <si>
    <t>ρ</t>
  </si>
  <si>
    <t>air density at sea level</t>
  </si>
  <si>
    <t>kg/m^3</t>
  </si>
  <si>
    <t>p</t>
  </si>
  <si>
    <t>air pressure at sea level</t>
  </si>
  <si>
    <t>N/m^2</t>
  </si>
  <si>
    <t>a</t>
  </si>
  <si>
    <t>m/s</t>
  </si>
  <si>
    <t>speed of sound at sea level</t>
  </si>
  <si>
    <t>R</t>
  </si>
  <si>
    <t>universal gas constant</t>
  </si>
  <si>
    <t>N-m/K</t>
  </si>
  <si>
    <t>Temperature</t>
  </si>
  <si>
    <t>g</t>
  </si>
  <si>
    <t>m/s^2</t>
  </si>
  <si>
    <t>Density</t>
  </si>
  <si>
    <t>Preassure</t>
  </si>
  <si>
    <t>gamma</t>
  </si>
  <si>
    <t>ratio of specific
heat at constant volume</t>
  </si>
  <si>
    <t>Mtrue</t>
  </si>
  <si>
    <t>IAS</t>
  </si>
  <si>
    <t>knot</t>
  </si>
  <si>
    <t>TAS (m/s)</t>
  </si>
  <si>
    <t>TAS (Knot)</t>
  </si>
  <si>
    <t>Thrust laps rate</t>
  </si>
  <si>
    <t>Lambda</t>
  </si>
  <si>
    <t>Num Engines</t>
  </si>
  <si>
    <t>Total Thrust</t>
  </si>
  <si>
    <t>Time step</t>
  </si>
  <si>
    <t>s</t>
  </si>
  <si>
    <t>N/N/S</t>
  </si>
  <si>
    <t>Climbing angle</t>
  </si>
  <si>
    <t>Flight time</t>
  </si>
  <si>
    <t>Vclimb</t>
  </si>
  <si>
    <t>Knot</t>
  </si>
  <si>
    <t>Vdesc</t>
  </si>
  <si>
    <t>m</t>
  </si>
  <si>
    <t>Index</t>
  </si>
  <si>
    <t>RateDesc</t>
  </si>
  <si>
    <t>Pinit</t>
  </si>
  <si>
    <t>Pfinal</t>
  </si>
  <si>
    <t>Lat</t>
  </si>
  <si>
    <t>Long</t>
  </si>
  <si>
    <t>Rearth</t>
  </si>
  <si>
    <t>Pinit (rad)</t>
  </si>
  <si>
    <t>Pdif (rad)</t>
  </si>
  <si>
    <t>Haversine</t>
  </si>
  <si>
    <t>C</t>
  </si>
  <si>
    <t>Pfinal (rad)</t>
  </si>
  <si>
    <t>Remaining Fuel</t>
  </si>
  <si>
    <t>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</si>
</sst>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66" formatCode="0.000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opLeftCell="A18" workbookViewId="0">
      <selection activeCell="L33" sqref="L33"/>
    </sheetView>
  </sheetViews>
  <sheetFormatPr baseColWidth="10" defaultColWidth="8.83203125" defaultRowHeight="15" x14ac:dyDescent="0.2"/>
  <cols>
    <col min="1" max="1" width="14" customWidth="1"/>
    <col min="2" max="2" width="11.33203125" customWidth="1"/>
    <col min="3" max="3" width="11.5" bestFit="1" customWidth="1"/>
    <col min="4" max="4" width="11.83203125" customWidth="1"/>
    <col min="5" max="5" width="11.33203125" customWidth="1"/>
    <col min="6" max="6" width="13.5" bestFit="1" customWidth="1"/>
    <col min="7" max="7" width="6.83203125" customWidth="1"/>
    <col min="8" max="10" width="13.5" customWidth="1"/>
    <col min="11" max="11" width="11.6640625" customWidth="1"/>
    <col min="12" max="12" width="10.83203125" customWidth="1"/>
    <col min="13" max="13" width="12.5" customWidth="1"/>
    <col min="16" max="16" width="10.5" customWidth="1"/>
    <col min="17" max="17" width="9" customWidth="1"/>
    <col min="18" max="18" width="12" customWidth="1"/>
    <col min="19" max="19" width="9.33203125" bestFit="1" customWidth="1"/>
    <col min="20" max="20" width="10.1640625" customWidth="1"/>
    <col min="21" max="21" width="11.5" bestFit="1" customWidth="1"/>
    <col min="22" max="22" width="17.5" bestFit="1" customWidth="1"/>
    <col min="23" max="23" width="16.83203125" bestFit="1" customWidth="1"/>
    <col min="25" max="25" width="12.6640625" bestFit="1" customWidth="1"/>
  </cols>
  <sheetData>
    <row r="1" spans="1:25" x14ac:dyDescent="0.2">
      <c r="A1" t="s">
        <v>63</v>
      </c>
      <c r="B1">
        <v>60</v>
      </c>
      <c r="C1" t="s">
        <v>64</v>
      </c>
    </row>
    <row r="2" spans="1:25" x14ac:dyDescent="0.2">
      <c r="A2" t="s">
        <v>2</v>
      </c>
      <c r="B2">
        <v>845</v>
      </c>
      <c r="C2" s="1" t="s">
        <v>19</v>
      </c>
    </row>
    <row r="3" spans="1:25" x14ac:dyDescent="0.2">
      <c r="A3" t="s">
        <v>5</v>
      </c>
      <c r="B3">
        <v>7.53</v>
      </c>
    </row>
    <row r="4" spans="1:25" x14ac:dyDescent="0.2">
      <c r="A4" t="s">
        <v>26</v>
      </c>
      <c r="B4">
        <v>0.84</v>
      </c>
    </row>
    <row r="5" spans="1:25" x14ac:dyDescent="0.2">
      <c r="A5" t="s">
        <v>20</v>
      </c>
      <c r="B5" s="2">
        <v>276800</v>
      </c>
      <c r="C5" t="s">
        <v>21</v>
      </c>
    </row>
    <row r="6" spans="1:25" x14ac:dyDescent="0.2">
      <c r="A6" t="s">
        <v>22</v>
      </c>
      <c r="B6">
        <v>42800</v>
      </c>
      <c r="C6" t="s">
        <v>25</v>
      </c>
    </row>
    <row r="7" spans="1:25" x14ac:dyDescent="0.2">
      <c r="A7" t="s">
        <v>23</v>
      </c>
      <c r="B7">
        <v>50000</v>
      </c>
      <c r="C7" t="s">
        <v>24</v>
      </c>
      <c r="D7" t="s">
        <v>23</v>
      </c>
      <c r="E7">
        <f>B7*0.804</f>
        <v>40200</v>
      </c>
      <c r="F7" t="s">
        <v>21</v>
      </c>
    </row>
    <row r="8" spans="1:25" x14ac:dyDescent="0.2">
      <c r="A8" t="s">
        <v>7</v>
      </c>
      <c r="B8">
        <v>0</v>
      </c>
      <c r="C8">
        <v>0.9</v>
      </c>
      <c r="D8" t="s">
        <v>18</v>
      </c>
    </row>
    <row r="9" spans="1:25" x14ac:dyDescent="0.2">
      <c r="B9" s="2">
        <v>338000</v>
      </c>
      <c r="C9" s="2">
        <v>180000</v>
      </c>
      <c r="D9" t="s">
        <v>17</v>
      </c>
    </row>
    <row r="10" spans="1:25" x14ac:dyDescent="0.2">
      <c r="A10" t="s">
        <v>60</v>
      </c>
      <c r="B10" s="2">
        <f>(B9-C9)/C8</f>
        <v>175555.55555555556</v>
      </c>
      <c r="C10" s="2"/>
    </row>
    <row r="11" spans="1:25" x14ac:dyDescent="0.2">
      <c r="A11" t="s">
        <v>59</v>
      </c>
      <c r="B11" s="2">
        <v>0.96</v>
      </c>
      <c r="C11" s="2"/>
    </row>
    <row r="12" spans="1:25" x14ac:dyDescent="0.2">
      <c r="A12" t="s">
        <v>15</v>
      </c>
      <c r="B12" s="2">
        <v>1.6000000000000001E-4</v>
      </c>
      <c r="C12" t="s">
        <v>65</v>
      </c>
    </row>
    <row r="13" spans="1:25" x14ac:dyDescent="0.2">
      <c r="A13" t="s">
        <v>61</v>
      </c>
      <c r="B13">
        <v>4</v>
      </c>
    </row>
    <row r="15" spans="1:25" x14ac:dyDescent="0.2">
      <c r="A15" t="s">
        <v>1</v>
      </c>
      <c r="B15" t="s">
        <v>0</v>
      </c>
      <c r="C15" t="s">
        <v>47</v>
      </c>
      <c r="D15" t="s">
        <v>51</v>
      </c>
      <c r="E15" t="s">
        <v>13</v>
      </c>
      <c r="F15" t="s">
        <v>14</v>
      </c>
      <c r="G15" t="s">
        <v>55</v>
      </c>
      <c r="H15" t="s">
        <v>54</v>
      </c>
      <c r="I15" t="s">
        <v>57</v>
      </c>
      <c r="J15" t="s">
        <v>58</v>
      </c>
      <c r="K15" t="s">
        <v>4</v>
      </c>
      <c r="L15" t="s">
        <v>27</v>
      </c>
      <c r="M15" t="s">
        <v>3</v>
      </c>
      <c r="N15" t="s">
        <v>6</v>
      </c>
      <c r="O15" t="s">
        <v>7</v>
      </c>
      <c r="P15" t="s">
        <v>62</v>
      </c>
      <c r="Q15" s="1" t="s">
        <v>8</v>
      </c>
      <c r="R15" s="1" t="s">
        <v>66</v>
      </c>
      <c r="S15" t="s">
        <v>9</v>
      </c>
      <c r="T15" t="s">
        <v>10</v>
      </c>
      <c r="U15" t="s">
        <v>11</v>
      </c>
      <c r="V15" t="s">
        <v>12</v>
      </c>
      <c r="W15" t="s">
        <v>28</v>
      </c>
      <c r="X15" t="s">
        <v>67</v>
      </c>
      <c r="Y15" t="s">
        <v>84</v>
      </c>
    </row>
    <row r="16" spans="1:25" x14ac:dyDescent="0.2">
      <c r="A16" s="5">
        <v>0</v>
      </c>
      <c r="B16" s="11">
        <f>B5+B6+E7</f>
        <v>359800</v>
      </c>
      <c r="C16">
        <f>IF(A16&lt;=11000,A16*Constants!$B$2+Constants!$B$1,216.7)</f>
        <v>288.2</v>
      </c>
      <c r="D16">
        <f>IF(A16&lt;=11000, Constants!$B$4*(1-0.0065*Climb!A16/Constants!$B$1)^5.2561, 22632*EXP(9.81*(11000-A16)/Constants!$B$6/C16))</f>
        <v>101325</v>
      </c>
      <c r="E16">
        <f>D16/(Constants!$B$6*Climb!C16)</f>
        <v>1.2250131175843335</v>
      </c>
      <c r="F16">
        <f>SQRT(Constants!$B$8*Constants!$B$6*Climb!C16)</f>
        <v>340.29216858458551</v>
      </c>
      <c r="G16" s="5">
        <f>VLOOKUP(TRUNC(A16/1000),Flight!$A$3:$C$17,3,FALSE)</f>
        <v>210</v>
      </c>
      <c r="H16">
        <f>SQRT(5*((Constants!$B$3/Climb!E16*((1+0.2*(Climb!G16/661.5)^2)^3.5-1)+1)^0.286-1))</f>
        <v>0.31761893882061998</v>
      </c>
      <c r="I16">
        <f>H16*F16</f>
        <v>108.08323747480357</v>
      </c>
      <c r="J16">
        <f>I16/Constants!$B$9</f>
        <v>210.09718739999605</v>
      </c>
      <c r="K16">
        <f>2*B16*Constants!$B$7/(Climb!E16*Climb!$B$2*Climb!I16^2)</f>
        <v>0.58377571466009126</v>
      </c>
      <c r="L16" s="5">
        <v>0.02</v>
      </c>
      <c r="M16">
        <f>K16^2/(PI()*$B$3*$B$4)+L16</f>
        <v>3.7150149626418411E-2</v>
      </c>
      <c r="N16">
        <f>0.5*E16*Climb!I16^2*Climb!$B$2*Climb!M16</f>
        <v>224618.0793996233</v>
      </c>
      <c r="O16" s="2">
        <f>($B$9-$B$10*H16)*(E16/Constants!$B$3)^$B$11</f>
        <v>282243.13214190392</v>
      </c>
      <c r="P16" s="2">
        <f>O16*$B$13</f>
        <v>1128972.5285676157</v>
      </c>
      <c r="Q16" s="2">
        <f>(P16-N16)*I16/B16/Constants!$B$7</f>
        <v>27.692799287297813</v>
      </c>
      <c r="R16" s="2">
        <f>ASIN(Q16/I16)</f>
        <v>0.25910686945657441</v>
      </c>
      <c r="S16" s="2">
        <f>P16*$B$1*$B$12/Constants!$B$7</f>
        <v>1104.8049209224373</v>
      </c>
      <c r="T16" s="10">
        <f>I16*COS(R16)*$B$1</f>
        <v>6268.5199470373864</v>
      </c>
      <c r="U16" s="12">
        <f>B16-S16</f>
        <v>358695.19507907756</v>
      </c>
      <c r="V16" s="10">
        <f>T16</f>
        <v>6268.5199470373864</v>
      </c>
      <c r="W16" s="7">
        <f>A16+Q16*$B$1</f>
        <v>1661.5679572378688</v>
      </c>
      <c r="X16">
        <f>$B$1</f>
        <v>60</v>
      </c>
      <c r="Y16" s="10">
        <f>$E$7-B16+U16</f>
        <v>39095.195079077559</v>
      </c>
    </row>
    <row r="17" spans="1:25" x14ac:dyDescent="0.2">
      <c r="A17" s="7">
        <f>W16</f>
        <v>1661.5679572378688</v>
      </c>
      <c r="B17" s="10">
        <f>U16</f>
        <v>358695.19507907756</v>
      </c>
      <c r="C17">
        <f>IF(A17&lt;=11000,A17*Constants!$B$2+Constants!$B$1,216.7)</f>
        <v>277.39980827795387</v>
      </c>
      <c r="D17">
        <f>IF(A17&lt;=11000, Constants!$B$4*(1-0.0065*Climb!A17/Constants!$B$1)^5.2561, 22632*EXP(9.81*(11000-A17)/Constants!$B$6/C17))</f>
        <v>82895.197813240185</v>
      </c>
      <c r="E17">
        <f>D17/(Constants!$B$6*Climb!C17)</f>
        <v>1.0412171646801192</v>
      </c>
      <c r="F17">
        <f>SQRT(Constants!$B$8*Constants!$B$6*Climb!C17)</f>
        <v>333.85512271954411</v>
      </c>
      <c r="G17" s="5">
        <f>VLOOKUP(TRUNC(A17/1000),Flight!$A$3:$C$17,3,FALSE)</f>
        <v>210</v>
      </c>
      <c r="H17">
        <f>SQRT(5*((Constants!$B$3/Climb!E17*((1+0.2*(Climb!G17/661.5)^2)^3.5-1)+1)^0.286-1))</f>
        <v>0.34377437918129072</v>
      </c>
      <c r="I17">
        <f>H17*F17</f>
        <v>114.7708375494049</v>
      </c>
      <c r="J17">
        <f>I17/Constants!$B$9</f>
        <v>223.09685320346802</v>
      </c>
      <c r="K17">
        <f>2*B17*Constants!$B$7/(Climb!E17*Climb!$B$2*Climb!I17^2)</f>
        <v>0.60724427964447902</v>
      </c>
      <c r="L17" s="5">
        <v>0.02</v>
      </c>
      <c r="M17">
        <f>K17^2/(PI()*$B$3*$B$4)+L17</f>
        <v>3.8556784732917758E-2</v>
      </c>
      <c r="N17">
        <f>0.5*E17*Climb!I17^2*Climb!$B$2*Climb!M17</f>
        <v>223425.09170004277</v>
      </c>
      <c r="O17" s="2">
        <f>($B$9-$B$10*H17)*(E17/Constants!$B$3)^$B$11</f>
        <v>237533.21625386216</v>
      </c>
      <c r="P17" s="2">
        <f>O17*$B$13</f>
        <v>950132.86501544865</v>
      </c>
      <c r="Q17" s="2">
        <f>(P17-N17)*I17/B17/Constants!$B$7</f>
        <v>23.702643806733033</v>
      </c>
      <c r="R17" s="2">
        <f>ASIN(Q17/I17)</f>
        <v>0.20801846054667064</v>
      </c>
      <c r="S17" s="2">
        <f>P17*$B$1*$B$12/Constants!$B$7</f>
        <v>929.79362937291603</v>
      </c>
      <c r="T17" s="10">
        <f>I17*COS(R17)*$B$1</f>
        <v>6737.7969234837374</v>
      </c>
      <c r="U17" s="12">
        <f>B17-S17</f>
        <v>357765.40144970466</v>
      </c>
      <c r="V17" s="10">
        <f>V16+T17</f>
        <v>13006.316870521125</v>
      </c>
      <c r="W17" s="7">
        <f>A17+Q17*$B$1</f>
        <v>3083.7265856418508</v>
      </c>
      <c r="X17">
        <f>X16+$B$1</f>
        <v>120</v>
      </c>
      <c r="Y17" s="10">
        <f>Y16-B17+U17</f>
        <v>38165.401449704659</v>
      </c>
    </row>
    <row r="18" spans="1:25" x14ac:dyDescent="0.2">
      <c r="A18" s="7">
        <f>W17</f>
        <v>3083.7265856418508</v>
      </c>
      <c r="B18" s="10">
        <f>U17</f>
        <v>357765.40144970466</v>
      </c>
      <c r="C18">
        <f>IF(A18&lt;=11000,A18*Constants!$B$2+Constants!$B$1,216.7)</f>
        <v>268.15577719332794</v>
      </c>
      <c r="D18">
        <f>IF(A18&lt;=11000, Constants!$B$4*(1-0.0065*Climb!A18/Constants!$B$1)^5.2561, 22632*EXP(9.81*(11000-A18)/Constants!$B$6/C18))</f>
        <v>69368.905673394329</v>
      </c>
      <c r="E18">
        <f>D18/(Constants!$B$6*Climb!C18)</f>
        <v>0.90135482672903555</v>
      </c>
      <c r="F18">
        <f>SQRT(Constants!$B$8*Constants!$B$6*Climb!C18)</f>
        <v>328.24532178887051</v>
      </c>
      <c r="G18" s="5">
        <f>VLOOKUP(TRUNC(A18/1000),Flight!$A$3:$C$17,3,FALSE)</f>
        <v>230</v>
      </c>
      <c r="H18">
        <f>SQRT(5*((Constants!$B$3/Climb!E18*((1+0.2*(Climb!G18/661.5)^2)^3.5-1)+1)^0.286-1))</f>
        <v>0.40345056921300382</v>
      </c>
      <c r="I18">
        <f>H18*F18</f>
        <v>132.43076191722542</v>
      </c>
      <c r="J18">
        <f>I18/Constants!$B$9</f>
        <v>257.42502957994537</v>
      </c>
      <c r="K18">
        <f>2*B18*Constants!$B$7/(Climb!E18*Climb!$B$2*Climb!I18^2)</f>
        <v>0.52549318577928572</v>
      </c>
      <c r="L18" s="5">
        <v>0.02</v>
      </c>
      <c r="M18">
        <f>K18^2/(PI()*$B$3*$B$4)+L18</f>
        <v>3.3896647538000507E-2</v>
      </c>
      <c r="N18">
        <f>0.5*E18*Climb!I18^2*Climb!$B$2*Climb!M18</f>
        <v>226389.87773017932</v>
      </c>
      <c r="O18" s="2">
        <f>($B$9-$B$10*H18)*(E18/Constants!$B$3)^$B$11</f>
        <v>199012.46166665765</v>
      </c>
      <c r="P18" s="2">
        <f>O18*$B$13</f>
        <v>796049.84666663059</v>
      </c>
      <c r="Q18" s="2">
        <f>(P18-N18)*I18/B18/Constants!$B$7</f>
        <v>21.494989305622951</v>
      </c>
      <c r="R18" s="2">
        <f>ASIN(Q18/I18)</f>
        <v>0.16303241296043128</v>
      </c>
      <c r="S18" s="2">
        <f>P18*$B$1*$B$12/Constants!$B$7</f>
        <v>779.00902426092296</v>
      </c>
      <c r="T18" s="10">
        <f>I18*COS(R18)*$B$1</f>
        <v>7840.4808329732423</v>
      </c>
      <c r="U18" s="12">
        <f>B18-S18</f>
        <v>356986.39242544374</v>
      </c>
      <c r="V18" s="10">
        <f>V17+T18</f>
        <v>20846.797703494369</v>
      </c>
      <c r="W18" s="7">
        <f>A18+Q18*$B$1</f>
        <v>4373.4259439792277</v>
      </c>
      <c r="X18">
        <f t="shared" ref="X18:X50" si="0">X17+$B$1</f>
        <v>180</v>
      </c>
      <c r="Y18" s="10">
        <f t="shared" ref="Y18:Y50" si="1">Y17-B18+U18</f>
        <v>37386.392425443744</v>
      </c>
    </row>
    <row r="19" spans="1:25" x14ac:dyDescent="0.2">
      <c r="A19" s="7">
        <f t="shared" ref="A19:A23" si="2">W18</f>
        <v>4373.4259439792277</v>
      </c>
      <c r="B19" s="10">
        <f t="shared" ref="B19:B23" si="3">U18</f>
        <v>356986.39242544374</v>
      </c>
      <c r="C19">
        <f>IF(A19&lt;=11000,A19*Constants!$B$2+Constants!$B$1,216.7)</f>
        <v>259.77273136413498</v>
      </c>
      <c r="D19">
        <f>IF(A19&lt;=11000, Constants!$B$4*(1-0.0065*Climb!A19/Constants!$B$1)^5.2561, 22632*EXP(9.81*(11000-A19)/Constants!$B$6/C19))</f>
        <v>58703.543514579949</v>
      </c>
      <c r="E19">
        <f>D19/(Constants!$B$6*Climb!C19)</f>
        <v>0.78738812342362374</v>
      </c>
      <c r="F19">
        <f>SQRT(Constants!$B$8*Constants!$B$6*Climb!C19)</f>
        <v>323.07380497667936</v>
      </c>
      <c r="G19" s="5">
        <f>VLOOKUP(TRUNC(A19/1000),Flight!$A$3:$C$17,3,FALSE)</f>
        <v>250</v>
      </c>
      <c r="H19">
        <f>SQRT(5*((Constants!$B$3/Climb!E19*((1+0.2*(Climb!G19/661.5)^2)^3.5-1)+1)^0.286-1))</f>
        <v>0.46725769370226439</v>
      </c>
      <c r="I19">
        <f t="shared" ref="I19:I23" si="4">H19*F19</f>
        <v>150.95872100901835</v>
      </c>
      <c r="J19">
        <f>I19/Constants!$B$9</f>
        <v>293.44053193159669</v>
      </c>
      <c r="K19">
        <f>2*B19*Constants!$B$7/(Climb!E19*Climb!$B$2*Climb!I19^2)</f>
        <v>0.46194330907762732</v>
      </c>
      <c r="L19" s="5">
        <v>0.02</v>
      </c>
      <c r="M19">
        <f t="shared" ref="M19:M23" si="5">K19^2/(PI()*$B$3*$B$4)+L19</f>
        <v>3.0738737515007938E-2</v>
      </c>
      <c r="N19">
        <f>0.5*E19*Climb!I19^2*Climb!$B$2*Climb!M19</f>
        <v>233033.31582914316</v>
      </c>
      <c r="O19" s="2">
        <f>($B$9-$B$10*H19)*(E19/Constants!$B$3)^$B$11</f>
        <v>167463.53898350208</v>
      </c>
      <c r="P19" s="2">
        <f t="shared" ref="P19:P45" si="6">O19*$B$13</f>
        <v>669854.1559340083</v>
      </c>
      <c r="Q19" s="2">
        <f>(P19-N19)*I19/B19/Constants!$B$7</f>
        <v>18.829591053602314</v>
      </c>
      <c r="R19" s="2">
        <f t="shared" ref="R19:R23" si="7">ASIN(Q19/I19)</f>
        <v>0.12505910495296188</v>
      </c>
      <c r="S19" s="2">
        <f>P19*$B$1*$B$12/Constants!$B$7</f>
        <v>655.51477033297454</v>
      </c>
      <c r="T19" s="10">
        <f t="shared" ref="T19:T23" si="8">I19*COS(R19)*$B$1</f>
        <v>8986.7866903558952</v>
      </c>
      <c r="U19" s="12">
        <f t="shared" ref="U19:U23" si="9">B19-S19</f>
        <v>356330.87765511079</v>
      </c>
      <c r="V19" s="10">
        <f t="shared" ref="V19:V23" si="10">V18+T19</f>
        <v>29833.584393850266</v>
      </c>
      <c r="W19" s="7">
        <f t="shared" ref="W19:W23" si="11">A19+Q19*$B$1</f>
        <v>5503.2014071953663</v>
      </c>
      <c r="X19">
        <f t="shared" si="0"/>
        <v>240</v>
      </c>
      <c r="Y19" s="10">
        <f t="shared" si="1"/>
        <v>36730.877655110788</v>
      </c>
    </row>
    <row r="20" spans="1:25" x14ac:dyDescent="0.2">
      <c r="A20" s="7">
        <f t="shared" si="2"/>
        <v>5503.2014071953663</v>
      </c>
      <c r="B20" s="10">
        <f t="shared" si="3"/>
        <v>356330.87765511079</v>
      </c>
      <c r="C20">
        <f>IF(A20&lt;=11000,A20*Constants!$B$2+Constants!$B$1,216.7)</f>
        <v>252.42919085323012</v>
      </c>
      <c r="D20">
        <f>IF(A20&lt;=11000, Constants!$B$4*(1-0.0065*Climb!A20/Constants!$B$1)^5.2561, 22632*EXP(9.81*(11000-A20)/Constants!$B$6/C20))</f>
        <v>50489.948045256395</v>
      </c>
      <c r="E20">
        <f>D20/(Constants!$B$6*Climb!C20)</f>
        <v>0.6969208407558577</v>
      </c>
      <c r="F20">
        <f>SQRT(Constants!$B$8*Constants!$B$6*Climb!C20)</f>
        <v>318.47456552262986</v>
      </c>
      <c r="G20" s="5">
        <f>VLOOKUP(TRUNC(A20/1000),Flight!$A$3:$C$17,3,FALSE)</f>
        <v>260</v>
      </c>
      <c r="H20">
        <f>SQRT(5*((Constants!$B$3/Climb!E20*((1+0.2*(Climb!G20/661.5)^2)^3.5-1)+1)^0.286-1))</f>
        <v>0.51433524787162166</v>
      </c>
      <c r="I20">
        <f t="shared" si="4"/>
        <v>163.80269459888885</v>
      </c>
      <c r="J20">
        <f>I20/Constants!$B$9</f>
        <v>318.40724082483001</v>
      </c>
      <c r="K20">
        <f>2*B20*Constants!$B$7/(Climb!E20*Climb!$B$2*Climb!I20^2)</f>
        <v>0.44245612984738736</v>
      </c>
      <c r="L20" s="5">
        <v>0.02</v>
      </c>
      <c r="M20">
        <f t="shared" si="5"/>
        <v>2.9851816125305724E-2</v>
      </c>
      <c r="N20">
        <f>0.5*E20*Climb!I20^2*Climb!$B$2*Climb!M20</f>
        <v>235843.00866568141</v>
      </c>
      <c r="O20" s="2">
        <f>($B$9-$B$10*H20)*(E20/Constants!$B$3)^$B$11</f>
        <v>144138.92402726266</v>
      </c>
      <c r="P20" s="2">
        <f t="shared" si="6"/>
        <v>576555.69610905065</v>
      </c>
      <c r="Q20" s="2">
        <f>(P20-N20)*I20/B20/Constants!$B$7</f>
        <v>15.965660239571942</v>
      </c>
      <c r="R20" s="2">
        <f t="shared" si="7"/>
        <v>9.7623841888658275E-2</v>
      </c>
      <c r="S20" s="2">
        <f>P20*$B$1*$B$12/Constants!$B$7</f>
        <v>564.21352524433087</v>
      </c>
      <c r="T20" s="10">
        <f t="shared" si="8"/>
        <v>9781.3656318275443</v>
      </c>
      <c r="U20" s="12">
        <f t="shared" si="9"/>
        <v>355766.66412986646</v>
      </c>
      <c r="V20" s="10">
        <f t="shared" si="10"/>
        <v>39614.950025677812</v>
      </c>
      <c r="W20" s="7">
        <f t="shared" si="11"/>
        <v>6461.1410215696833</v>
      </c>
      <c r="X20">
        <f t="shared" si="0"/>
        <v>300</v>
      </c>
      <c r="Y20" s="10">
        <f t="shared" si="1"/>
        <v>36166.664129866462</v>
      </c>
    </row>
    <row r="21" spans="1:25" x14ac:dyDescent="0.2">
      <c r="A21" s="7">
        <f t="shared" si="2"/>
        <v>6461.1410215696833</v>
      </c>
      <c r="B21" s="10">
        <f t="shared" si="3"/>
        <v>355766.66412986646</v>
      </c>
      <c r="C21">
        <f>IF(A21&lt;=11000,A21*Constants!$B$2+Constants!$B$1,216.7)</f>
        <v>246.20258335979705</v>
      </c>
      <c r="D21">
        <f>IF(A21&lt;=11000, Constants!$B$4*(1-0.0065*Climb!A21/Constants!$B$1)^5.2561, 22632*EXP(9.81*(11000-A21)/Constants!$B$6/C21))</f>
        <v>44278.425249131062</v>
      </c>
      <c r="E21">
        <f>D21/(Constants!$B$6*Climb!C21)</f>
        <v>0.62663935220950029</v>
      </c>
      <c r="F21">
        <f>SQRT(Constants!$B$8*Constants!$B$6*Climb!C21)</f>
        <v>314.52217408946933</v>
      </c>
      <c r="G21" s="5">
        <f>VLOOKUP(TRUNC(A21/1000),Flight!$A$3:$C$17,3,FALSE)</f>
        <v>290</v>
      </c>
      <c r="H21">
        <f>SQRT(5*((Constants!$B$3/Climb!E21*((1+0.2*(Climb!G21/661.5)^2)^3.5-1)+1)^0.286-1))</f>
        <v>0.60068574185205714</v>
      </c>
      <c r="I21">
        <f t="shared" si="4"/>
        <v>188.92898547185476</v>
      </c>
      <c r="J21">
        <f>I21/Constants!$B$9</f>
        <v>367.24888514951044</v>
      </c>
      <c r="K21">
        <f>2*B21*Constants!$B$7/(Climb!E21*Climb!$B$2*Climb!I21^2)</f>
        <v>0.36931138505436056</v>
      </c>
      <c r="L21" s="5">
        <v>0.02</v>
      </c>
      <c r="M21">
        <f t="shared" si="5"/>
        <v>2.6863746850505965E-2</v>
      </c>
      <c r="N21">
        <f>0.5*E21*Climb!I21^2*Climb!$B$2*Climb!M21</f>
        <v>253868.10956819088</v>
      </c>
      <c r="O21" s="2">
        <f>($B$9-$B$10*H21)*(E21/Constants!$B$3)^$B$11</f>
        <v>122190.01301204262</v>
      </c>
      <c r="P21" s="2">
        <f t="shared" si="6"/>
        <v>488760.05204817047</v>
      </c>
      <c r="Q21" s="2">
        <f>(P21-N21)*I21/B21/Constants!$B$7</f>
        <v>12.715471033309393</v>
      </c>
      <c r="R21" s="2">
        <f t="shared" si="7"/>
        <v>6.735382677533612E-2</v>
      </c>
      <c r="S21" s="2">
        <f>P21*$B$1*$B$12/Constants!$B$7</f>
        <v>478.2972986404115</v>
      </c>
      <c r="T21" s="10">
        <f t="shared" si="8"/>
        <v>11310.036341770585</v>
      </c>
      <c r="U21" s="12">
        <f t="shared" si="9"/>
        <v>355288.36683122604</v>
      </c>
      <c r="V21" s="10">
        <f t="shared" si="10"/>
        <v>50924.986367448393</v>
      </c>
      <c r="W21" s="7">
        <f t="shared" si="11"/>
        <v>7224.0692835682466</v>
      </c>
      <c r="X21">
        <f t="shared" si="0"/>
        <v>360</v>
      </c>
      <c r="Y21" s="10">
        <f t="shared" si="1"/>
        <v>35688.366831226042</v>
      </c>
    </row>
    <row r="22" spans="1:25" x14ac:dyDescent="0.2">
      <c r="A22" s="7">
        <f t="shared" si="2"/>
        <v>7224.0692835682466</v>
      </c>
      <c r="B22" s="10">
        <f t="shared" si="3"/>
        <v>355288.36683122604</v>
      </c>
      <c r="C22">
        <f>IF(A22&lt;=11000,A22*Constants!$B$2+Constants!$B$1,216.7)</f>
        <v>241.24354965680638</v>
      </c>
      <c r="D22">
        <f>IF(A22&lt;=11000, Constants!$B$4*(1-0.0065*Climb!A22/Constants!$B$1)^5.2561, 22632*EXP(9.81*(11000-A22)/Constants!$B$6/C22))</f>
        <v>39787.308401576607</v>
      </c>
      <c r="E22">
        <f>D22/(Constants!$B$6*Climb!C22)</f>
        <v>0.57465468729869496</v>
      </c>
      <c r="F22">
        <f>SQRT(Constants!$B$8*Constants!$B$6*Climb!C22)</f>
        <v>311.33849465188979</v>
      </c>
      <c r="G22" s="5">
        <f>VLOOKUP(TRUNC(A22/1000),Flight!$A$3:$C$17,3,FALSE)</f>
        <v>290</v>
      </c>
      <c r="H22">
        <f>SQRT(5*((Constants!$B$3/Climb!E22*((1+0.2*(Climb!G22/661.5)^2)^3.5-1)+1)^0.286-1))</f>
        <v>0.62498490254641148</v>
      </c>
      <c r="I22">
        <f t="shared" si="4"/>
        <v>194.58185873895781</v>
      </c>
      <c r="J22">
        <f>I22/Constants!$B$9</f>
        <v>378.23720120937907</v>
      </c>
      <c r="K22">
        <f>2*B22*Constants!$B$7/(Climb!E22*Climb!$B$2*Climb!I22^2)</f>
        <v>0.37915049992387301</v>
      </c>
      <c r="L22" s="5">
        <v>0.02</v>
      </c>
      <c r="M22">
        <f t="shared" si="5"/>
        <v>2.7234343582219569E-2</v>
      </c>
      <c r="N22">
        <f>0.5*E22*Climb!I22^2*Climb!$B$2*Climb!M22</f>
        <v>250354.42631211743</v>
      </c>
      <c r="O22" s="2">
        <f>($B$9-$B$10*H22)*(E22/Constants!$B$3)^$B$11</f>
        <v>110379.57275912218</v>
      </c>
      <c r="P22" s="2">
        <f t="shared" si="6"/>
        <v>441518.29103648872</v>
      </c>
      <c r="Q22" s="2">
        <f>(P22-N22)*I22/B22/Constants!$B$7</f>
        <v>10.672303189195652</v>
      </c>
      <c r="R22" s="2">
        <f t="shared" si="7"/>
        <v>5.4874906182556291E-2</v>
      </c>
      <c r="S22" s="2">
        <f>P22*$B$1*$B$12/Constants!$B$7</f>
        <v>432.06682914885749</v>
      </c>
      <c r="T22" s="10">
        <f t="shared" si="8"/>
        <v>11657.337865130454</v>
      </c>
      <c r="U22" s="12">
        <f t="shared" si="9"/>
        <v>354856.30000207719</v>
      </c>
      <c r="V22" s="10">
        <f t="shared" si="10"/>
        <v>62582.324232578845</v>
      </c>
      <c r="W22" s="7">
        <f t="shared" si="11"/>
        <v>7864.4074749199863</v>
      </c>
      <c r="X22">
        <f t="shared" si="0"/>
        <v>420</v>
      </c>
      <c r="Y22" s="10">
        <f t="shared" si="1"/>
        <v>35256.300002077187</v>
      </c>
    </row>
    <row r="23" spans="1:25" x14ac:dyDescent="0.2">
      <c r="A23" s="7">
        <f t="shared" si="2"/>
        <v>7864.4074749199863</v>
      </c>
      <c r="B23" s="10">
        <f t="shared" si="3"/>
        <v>354856.30000207719</v>
      </c>
      <c r="C23">
        <f>IF(A23&lt;=11000,A23*Constants!$B$2+Constants!$B$1,216.7)</f>
        <v>237.08135141302009</v>
      </c>
      <c r="D23">
        <f>IF(A23&lt;=11000, Constants!$B$4*(1-0.0065*Climb!A23/Constants!$B$1)^5.2561, 22632*EXP(9.81*(11000-A23)/Constants!$B$6/C23))</f>
        <v>36309.251482946544</v>
      </c>
      <c r="E23">
        <f>D23/(Constants!$B$6*Climb!C23)</f>
        <v>0.53362725754314155</v>
      </c>
      <c r="F23">
        <f>SQRT(Constants!$B$8*Constants!$B$6*Climb!C23)</f>
        <v>308.64103258923865</v>
      </c>
      <c r="G23" s="5">
        <f>VLOOKUP(TRUNC(A23/1000),Flight!$A$3:$C$17,3,FALSE)</f>
        <v>290</v>
      </c>
      <c r="H23">
        <f>SQRT(5*((Constants!$B$3/Climb!E23*((1+0.2*(Climb!G23/661.5)^2)^3.5-1)+1)^0.286-1))</f>
        <v>0.64641027371608395</v>
      </c>
      <c r="I23">
        <f t="shared" si="4"/>
        <v>199.50873435602455</v>
      </c>
      <c r="J23">
        <f>I23/Constants!$B$9</f>
        <v>387.81428951649656</v>
      </c>
      <c r="K23">
        <f>2*B23*Constants!$B$7/(Climb!E23*Climb!$B$2*Climb!I23^2)</f>
        <v>0.38791179203739173</v>
      </c>
      <c r="L23" s="5">
        <v>0.02</v>
      </c>
      <c r="M23">
        <f t="shared" si="5"/>
        <v>2.7572544404647278E-2</v>
      </c>
      <c r="N23">
        <f>0.5*E23*Climb!I23^2*Climb!$B$2*Climb!M23</f>
        <v>247437.42663688996</v>
      </c>
      <c r="O23" s="2">
        <f>($B$9-$B$10*H23)*(E23/Constants!$B$3)^$B$11</f>
        <v>101109.30005998611</v>
      </c>
      <c r="P23" s="2">
        <f t="shared" si="6"/>
        <v>404437.20023994445</v>
      </c>
      <c r="Q23" s="2">
        <f>(P23-N23)*I23/B23/Constants!$B$7</f>
        <v>8.997863745552241</v>
      </c>
      <c r="R23" s="2">
        <f t="shared" si="7"/>
        <v>4.5115402461994164E-2</v>
      </c>
      <c r="S23" s="2">
        <f>P23*$B$1*$B$12/Constants!$B$7</f>
        <v>395.77952317058788</v>
      </c>
      <c r="T23" s="10">
        <f t="shared" si="8"/>
        <v>11958.343727978941</v>
      </c>
      <c r="U23" s="12">
        <f t="shared" si="9"/>
        <v>354460.52047890658</v>
      </c>
      <c r="V23" s="10">
        <f t="shared" si="10"/>
        <v>74540.667960557781</v>
      </c>
      <c r="W23" s="7">
        <f t="shared" si="11"/>
        <v>8404.2792996531207</v>
      </c>
      <c r="X23">
        <f t="shared" si="0"/>
        <v>480</v>
      </c>
      <c r="Y23" s="10">
        <f t="shared" si="1"/>
        <v>34860.520478906576</v>
      </c>
    </row>
    <row r="24" spans="1:25" x14ac:dyDescent="0.2">
      <c r="A24" s="7">
        <f t="shared" ref="A24:A36" si="12">W23</f>
        <v>8404.2792996531207</v>
      </c>
      <c r="B24" s="10">
        <f t="shared" ref="B24:B36" si="13">U23</f>
        <v>354460.52047890658</v>
      </c>
      <c r="C24">
        <f>IF(A24&lt;=11000,A24*Constants!$B$2+Constants!$B$1,216.7)</f>
        <v>233.5721845522547</v>
      </c>
      <c r="D24">
        <f>IF(A24&lt;=11000, Constants!$B$4*(1-0.0065*Climb!A24/Constants!$B$1)^5.2561, 22632*EXP(9.81*(11000-A24)/Constants!$B$6/C24))</f>
        <v>33572.011659533266</v>
      </c>
      <c r="E24">
        <f>D24/(Constants!$B$6*Climb!C24)</f>
        <v>0.50081156112781589</v>
      </c>
      <c r="F24">
        <f>SQRT(Constants!$B$8*Constants!$B$6*Climb!C24)</f>
        <v>306.34833727816431</v>
      </c>
      <c r="G24" s="5">
        <f>VLOOKUP(TRUNC(A24/1000),Flight!$A$3:$C$17,3,FALSE)</f>
        <v>290</v>
      </c>
      <c r="H24">
        <f>SQRT(5*((Constants!$B$3/Climb!E24*((1+0.2*(Climb!G24/661.5)^2)^3.5-1)+1)^0.286-1))</f>
        <v>0.66524380655181425</v>
      </c>
      <c r="I24">
        <f t="shared" ref="I24:I36" si="14">H24*F24</f>
        <v>203.79633402174508</v>
      </c>
      <c r="J24">
        <f>I24/Constants!$B$9</f>
        <v>396.14872371287271</v>
      </c>
      <c r="K24">
        <f>2*B24*Constants!$B$7/(Climb!E24*Climb!$B$2*Climb!I24^2)</f>
        <v>0.39567907533351626</v>
      </c>
      <c r="L24" s="5">
        <v>0.02</v>
      </c>
      <c r="M24">
        <f t="shared" ref="M24:M36" si="15">K24^2/(PI()*$B$3*$B$4)+L24</f>
        <v>2.7878835503711539E-2</v>
      </c>
      <c r="N24">
        <f>0.5*E24*Climb!I24^2*Climb!$B$2*Climb!M24</f>
        <v>245001.31957959573</v>
      </c>
      <c r="O24" s="2">
        <f>($B$9-$B$10*H24)*(E24/Constants!$B$3)^$B$11</f>
        <v>93731.785373301813</v>
      </c>
      <c r="P24" s="2">
        <f t="shared" si="6"/>
        <v>374927.14149320725</v>
      </c>
      <c r="Q24" s="2">
        <f>(P24-N24)*I24/B24/Constants!$B$7</f>
        <v>7.6147379458945066</v>
      </c>
      <c r="R24" s="2">
        <f t="shared" ref="R24:R36" si="16">ASIN(Q24/I24)</f>
        <v>3.7373149629173541E-2</v>
      </c>
      <c r="S24" s="2">
        <f>P24*$B$1*$B$12/Constants!$B$7</f>
        <v>366.90117821965242</v>
      </c>
      <c r="T24" s="10">
        <f t="shared" ref="T24:T36" si="17">I24*COS(R24)*$B$1</f>
        <v>12219.241445203748</v>
      </c>
      <c r="U24" s="12">
        <f t="shared" ref="U24:U36" si="18">B24-S24</f>
        <v>354093.61930068693</v>
      </c>
      <c r="V24" s="10">
        <f t="shared" ref="V24:V36" si="19">V23+T24</f>
        <v>86759.909405761529</v>
      </c>
      <c r="W24" s="7">
        <f t="shared" ref="W24:W36" si="20">A24+Q24*$B$1</f>
        <v>8861.1635764067905</v>
      </c>
      <c r="X24">
        <f t="shared" si="0"/>
        <v>540</v>
      </c>
      <c r="Y24" s="10">
        <f t="shared" si="1"/>
        <v>34493.619300686929</v>
      </c>
    </row>
    <row r="25" spans="1:25" x14ac:dyDescent="0.2">
      <c r="A25" s="7">
        <f t="shared" si="12"/>
        <v>8861.1635764067905</v>
      </c>
      <c r="B25" s="10">
        <f t="shared" si="13"/>
        <v>354093.61930068693</v>
      </c>
      <c r="C25">
        <f>IF(A25&lt;=11000,A25*Constants!$B$2+Constants!$B$1,216.7)</f>
        <v>230.60243675335585</v>
      </c>
      <c r="D25">
        <f>IF(A25&lt;=11000, Constants!$B$4*(1-0.0065*Climb!A25/Constants!$B$1)^5.2561, 22632*EXP(9.81*(11000-A25)/Constants!$B$6/C25))</f>
        <v>31388.315268601433</v>
      </c>
      <c r="E25">
        <f>D25/(Constants!$B$6*Climb!C25)</f>
        <v>0.47426624668489814</v>
      </c>
      <c r="F25">
        <f>SQRT(Constants!$B$8*Constants!$B$6*Climb!C25)</f>
        <v>304.39457795351478</v>
      </c>
      <c r="G25" s="5">
        <f>VLOOKUP(TRUNC(A25/1000),Flight!$A$3:$C$17,3,FALSE)</f>
        <v>290</v>
      </c>
      <c r="H25">
        <f>SQRT(5*((Constants!$B$3/Climb!E25*((1+0.2*(Climb!G25/661.5)^2)^3.5-1)+1)^0.286-1))</f>
        <v>0.68175691907558644</v>
      </c>
      <c r="I25">
        <f t="shared" si="14"/>
        <v>207.52310964890168</v>
      </c>
      <c r="J25">
        <f>I25/Constants!$B$9</f>
        <v>403.39300224883891</v>
      </c>
      <c r="K25">
        <f>2*B25*Constants!$B$7/(Climb!E25*Climb!$B$2*Climb!I25^2)</f>
        <v>0.40253648019995325</v>
      </c>
      <c r="L25" s="5">
        <v>0.02</v>
      </c>
      <c r="M25">
        <f t="shared" si="15"/>
        <v>2.8154293791318639E-2</v>
      </c>
      <c r="N25">
        <f>0.5*E25*Climb!I25^2*Climb!$B$2*Climb!M25</f>
        <v>242955.36947617444</v>
      </c>
      <c r="O25" s="2">
        <f>($B$9-$B$10*H25)*(E25/Constants!$B$3)^$B$11</f>
        <v>87791.373423621015</v>
      </c>
      <c r="P25" s="2">
        <f t="shared" si="6"/>
        <v>351165.49369448406</v>
      </c>
      <c r="Q25" s="2">
        <f>(P25-N25)*I25/B25/Constants!$B$7</f>
        <v>6.464683297228599</v>
      </c>
      <c r="R25" s="2">
        <f t="shared" si="16"/>
        <v>3.1156671398066344E-2</v>
      </c>
      <c r="S25" s="2">
        <f>P25*$B$1*$B$12/Constants!$B$7</f>
        <v>343.64818954811898</v>
      </c>
      <c r="T25" s="10">
        <f t="shared" si="17"/>
        <v>12445.343549680731</v>
      </c>
      <c r="U25" s="12">
        <f t="shared" si="18"/>
        <v>353749.97111113882</v>
      </c>
      <c r="V25" s="10">
        <f t="shared" si="19"/>
        <v>99205.252955442265</v>
      </c>
      <c r="W25" s="7">
        <f t="shared" si="20"/>
        <v>9249.0445742405063</v>
      </c>
      <c r="X25">
        <f t="shared" si="0"/>
        <v>600</v>
      </c>
      <c r="Y25" s="10">
        <f t="shared" si="1"/>
        <v>34149.971111138817</v>
      </c>
    </row>
    <row r="26" spans="1:25" x14ac:dyDescent="0.2">
      <c r="A26" s="7">
        <f t="shared" si="12"/>
        <v>9249.0445742405063</v>
      </c>
      <c r="B26" s="10">
        <f t="shared" si="13"/>
        <v>353749.97111113882</v>
      </c>
      <c r="C26">
        <f>IF(A26&lt;=11000,A26*Constants!$B$2+Constants!$B$1,216.7)</f>
        <v>228.08121026743669</v>
      </c>
      <c r="D26">
        <f>IF(A26&lt;=11000, Constants!$B$4*(1-0.0065*Climb!A26/Constants!$B$1)^5.2561, 22632*EXP(9.81*(11000-A26)/Constants!$B$6/C26))</f>
        <v>29626.023969563452</v>
      </c>
      <c r="E26">
        <f>D26/(Constants!$B$6*Climb!C26)</f>
        <v>0.45258688443840372</v>
      </c>
      <c r="F26">
        <f>SQRT(Constants!$B$8*Constants!$B$6*Climb!C26)</f>
        <v>302.72599869429132</v>
      </c>
      <c r="G26" s="5">
        <f>VLOOKUP(TRUNC(A26/1000),Flight!$A$3:$C$17,3,FALSE)</f>
        <v>290</v>
      </c>
      <c r="H26">
        <f>SQRT(5*((Constants!$B$3/Climb!E26*((1+0.2*(Climb!G26/661.5)^2)^3.5-1)+1)^0.286-1))</f>
        <v>0.69620495673305438</v>
      </c>
      <c r="I26">
        <f t="shared" si="14"/>
        <v>210.75934082292977</v>
      </c>
      <c r="J26">
        <f>I26/Constants!$B$9</f>
        <v>409.68373782749876</v>
      </c>
      <c r="K26">
        <f>2*B26*Constants!$B$7/(Climb!E26*Climb!$B$2*Climb!I26^2)</f>
        <v>0.40856680614711921</v>
      </c>
      <c r="L26" s="5">
        <v>0.02</v>
      </c>
      <c r="M26">
        <f t="shared" si="15"/>
        <v>2.8400439808544991E-2</v>
      </c>
      <c r="N26">
        <f>0.5*E26*Climb!I26^2*Climb!$B$2*Climb!M26</f>
        <v>241227.82793551253</v>
      </c>
      <c r="O26" s="2">
        <f>($B$9-$B$10*H26)*(E26/Constants!$B$3)^$B$11</f>
        <v>82960.068096198171</v>
      </c>
      <c r="P26" s="2">
        <f t="shared" si="6"/>
        <v>331840.27238479268</v>
      </c>
      <c r="Q26" s="2">
        <f>(P26-N26)*I26/B26/Constants!$B$7</f>
        <v>5.5031234795584867</v>
      </c>
      <c r="R26" s="2">
        <f t="shared" si="16"/>
        <v>2.6113903045879596E-2</v>
      </c>
      <c r="S26" s="2">
        <f>P26*$B$1*$B$12/Constants!$B$7</f>
        <v>324.73665799123449</v>
      </c>
      <c r="T26" s="10">
        <f t="shared" si="17"/>
        <v>12641.248963370057</v>
      </c>
      <c r="U26" s="12">
        <f t="shared" si="18"/>
        <v>353425.23445314757</v>
      </c>
      <c r="V26" s="10">
        <f t="shared" si="19"/>
        <v>111846.50191881233</v>
      </c>
      <c r="W26" s="7">
        <f t="shared" si="20"/>
        <v>9579.231983014015</v>
      </c>
      <c r="X26">
        <f t="shared" si="0"/>
        <v>660</v>
      </c>
      <c r="Y26" s="10">
        <f t="shared" si="1"/>
        <v>33825.234453147568</v>
      </c>
    </row>
    <row r="27" spans="1:25" x14ac:dyDescent="0.2">
      <c r="A27" s="7">
        <f t="shared" si="12"/>
        <v>9579.231983014015</v>
      </c>
      <c r="B27" s="10">
        <f t="shared" si="13"/>
        <v>353425.23445314757</v>
      </c>
      <c r="C27">
        <f>IF(A27&lt;=11000,A27*Constants!$B$2+Constants!$B$1,216.7)</f>
        <v>225.9349921104089</v>
      </c>
      <c r="D27">
        <f>IF(A27&lt;=11000, Constants!$B$4*(1-0.0065*Climb!A27/Constants!$B$1)^5.2561, 22632*EXP(9.81*(11000-A27)/Constants!$B$6/C27))</f>
        <v>28189.78529514794</v>
      </c>
      <c r="E27">
        <f>D27/(Constants!$B$6*Climb!C27)</f>
        <v>0.43473676873899558</v>
      </c>
      <c r="F27">
        <f>SQRT(Constants!$B$8*Constants!$B$6*Climb!C27)</f>
        <v>301.29832364280139</v>
      </c>
      <c r="G27" s="5">
        <f>VLOOKUP(TRUNC(A27/1000),Flight!$A$3:$C$17,3,FALSE)</f>
        <v>290</v>
      </c>
      <c r="H27">
        <f>SQRT(5*((Constants!$B$3/Climb!E27*((1+0.2*(Climb!G27/661.5)^2)^3.5-1)+1)^0.286-1))</f>
        <v>0.7088241237559546</v>
      </c>
      <c r="I27">
        <f t="shared" si="14"/>
        <v>213.56752024524673</v>
      </c>
      <c r="J27">
        <f>I27/Constants!$B$9</f>
        <v>415.14240664726719</v>
      </c>
      <c r="K27">
        <f>2*B27*Constants!$B$7/(Climb!E27*Climb!$B$2*Climb!I27^2)</f>
        <v>0.41385010116154136</v>
      </c>
      <c r="L27" s="5">
        <v>0.02</v>
      </c>
      <c r="M27">
        <f t="shared" si="15"/>
        <v>2.8619101527066898E-2</v>
      </c>
      <c r="N27">
        <f>0.5*E27*Climb!I27^2*Climb!$B$2*Climb!M27</f>
        <v>239761.52472885622</v>
      </c>
      <c r="O27" s="2">
        <f>($B$9-$B$10*H27)*(E27/Constants!$B$3)^$B$11</f>
        <v>78997.004996622403</v>
      </c>
      <c r="P27" s="2">
        <f t="shared" si="6"/>
        <v>315988.01998648961</v>
      </c>
      <c r="Q27" s="2">
        <f>(P27-N27)*I27/B27/Constants!$B$7</f>
        <v>4.6954216178719888</v>
      </c>
      <c r="R27" s="2">
        <f t="shared" si="16"/>
        <v>2.1987425639346032E-2</v>
      </c>
      <c r="S27" s="2">
        <f>P27*$B$1*$B$12/Constants!$B$7</f>
        <v>309.22375044549443</v>
      </c>
      <c r="T27" s="10">
        <f t="shared" si="17"/>
        <v>12810.953882920798</v>
      </c>
      <c r="U27" s="12">
        <f t="shared" si="18"/>
        <v>353116.0107027021</v>
      </c>
      <c r="V27" s="10">
        <f t="shared" si="19"/>
        <v>124657.45580173313</v>
      </c>
      <c r="W27" s="7">
        <f t="shared" si="20"/>
        <v>9860.9572800863352</v>
      </c>
      <c r="X27">
        <f t="shared" si="0"/>
        <v>720</v>
      </c>
      <c r="Y27" s="10">
        <f t="shared" si="1"/>
        <v>33516.0107027021</v>
      </c>
    </row>
    <row r="28" spans="1:25" x14ac:dyDescent="0.2">
      <c r="A28" s="7">
        <f t="shared" si="12"/>
        <v>9860.9572800863352</v>
      </c>
      <c r="B28" s="10">
        <f t="shared" si="13"/>
        <v>353116.0107027021</v>
      </c>
      <c r="C28">
        <f>IF(A28&lt;=11000,A28*Constants!$B$2+Constants!$B$1,216.7)</f>
        <v>224.10377767943879</v>
      </c>
      <c r="D28">
        <f>IF(A28&lt;=11000, Constants!$B$4*(1-0.0065*Climb!A28/Constants!$B$1)^5.2561, 22632*EXP(9.81*(11000-A28)/Constants!$B$6/C28))</f>
        <v>27009.405438527865</v>
      </c>
      <c r="E28">
        <f>D28/(Constants!$B$6*Climb!C28)</f>
        <v>0.41993681494158086</v>
      </c>
      <c r="F28">
        <f>SQRT(Constants!$B$8*Constants!$B$6*Climb!C28)</f>
        <v>300.07482045582981</v>
      </c>
      <c r="G28" s="5">
        <f>VLOOKUP(TRUNC(A28/1000),Flight!$A$3:$C$17,3,FALSE)</f>
        <v>290</v>
      </c>
      <c r="H28">
        <f>SQRT(5*((Constants!$B$3/Climb!E28*((1+0.2*(Climb!G28/661.5)^2)^3.5-1)+1)^0.286-1))</f>
        <v>0.71983013866086831</v>
      </c>
      <c r="I28">
        <f t="shared" si="14"/>
        <v>216.00289961735513</v>
      </c>
      <c r="J28">
        <f>I28/Constants!$B$9</f>
        <v>419.87640951659483</v>
      </c>
      <c r="K28">
        <f>2*B28*Constants!$B$7/(Climb!E28*Climb!$B$2*Climb!I28^2)</f>
        <v>0.41846254430024626</v>
      </c>
      <c r="L28" s="5">
        <v>0.02</v>
      </c>
      <c r="M28">
        <f t="shared" si="15"/>
        <v>2.8812295415353892E-2</v>
      </c>
      <c r="N28">
        <f>0.5*E28*Climb!I28^2*Climb!$B$2*Climb!M28</f>
        <v>238510.59978231732</v>
      </c>
      <c r="O28" s="2">
        <f>($B$9-$B$10*H28)*(E28/Constants!$B$3)^$B$11</f>
        <v>75722.127866543859</v>
      </c>
      <c r="P28" s="2">
        <f t="shared" si="6"/>
        <v>302888.51146617543</v>
      </c>
      <c r="Q28" s="2">
        <f>(P28-N28)*I28/B28/Constants!$B$7</f>
        <v>4.014302067430485</v>
      </c>
      <c r="R28" s="2">
        <f t="shared" si="16"/>
        <v>1.8585552272992571E-2</v>
      </c>
      <c r="S28" s="2">
        <f>P28*$B$1*$B$12/Constants!$B$7</f>
        <v>296.40465953876497</v>
      </c>
      <c r="T28" s="10">
        <f t="shared" si="17"/>
        <v>12957.935671983398</v>
      </c>
      <c r="U28" s="12">
        <f t="shared" si="18"/>
        <v>352819.60604316334</v>
      </c>
      <c r="V28" s="10">
        <f t="shared" si="19"/>
        <v>137615.39147371653</v>
      </c>
      <c r="W28" s="7">
        <f t="shared" si="20"/>
        <v>10101.815404132165</v>
      </c>
      <c r="X28">
        <f t="shared" si="0"/>
        <v>780</v>
      </c>
      <c r="Y28" s="10">
        <f t="shared" si="1"/>
        <v>33219.606043163338</v>
      </c>
    </row>
    <row r="29" spans="1:25" x14ac:dyDescent="0.2">
      <c r="A29" s="7">
        <f t="shared" si="12"/>
        <v>10101.815404132165</v>
      </c>
      <c r="B29" s="10">
        <f t="shared" si="13"/>
        <v>352819.60604316334</v>
      </c>
      <c r="C29">
        <f>IF(A29&lt;=11000,A29*Constants!$B$2+Constants!$B$1,216.7)</f>
        <v>222.53819987314091</v>
      </c>
      <c r="D29">
        <f>IF(A29&lt;=11000, Constants!$B$4*(1-0.0065*Climb!A29/Constants!$B$1)^5.2561, 22632*EXP(9.81*(11000-A29)/Constants!$B$6/C29))</f>
        <v>26032.283584946563</v>
      </c>
      <c r="E29">
        <f>D29/(Constants!$B$6*Climb!C29)</f>
        <v>0.40759213881113043</v>
      </c>
      <c r="F29">
        <f>SQRT(Constants!$B$8*Constants!$B$6*Climb!C29)</f>
        <v>299.02482958615326</v>
      </c>
      <c r="G29" s="5">
        <f>VLOOKUP(TRUNC(A29/1000),Flight!$A$3:$C$17,3,FALSE)</f>
        <v>300</v>
      </c>
      <c r="H29">
        <f>SQRT(5*((Constants!$B$3/Climb!E29*((1+0.2*(Climb!G29/661.5)^2)^3.5-1)+1)^0.286-1))</f>
        <v>0.75267803013095735</v>
      </c>
      <c r="I29">
        <f t="shared" si="14"/>
        <v>225.06941969315105</v>
      </c>
      <c r="J29">
        <f>I29/Constants!$B$9</f>
        <v>437.50032985738204</v>
      </c>
      <c r="K29">
        <f>2*B29*Constants!$B$7/(Climb!E29*Climb!$B$2*Climb!I29^2)</f>
        <v>0.39676762076625405</v>
      </c>
      <c r="L29" s="5">
        <v>0.02</v>
      </c>
      <c r="M29">
        <f t="shared" si="15"/>
        <v>2.7922245773413953E-2</v>
      </c>
      <c r="N29">
        <f>0.5*E29*Climb!I29^2*Climb!$B$2*Climb!M29</f>
        <v>243576.75496890143</v>
      </c>
      <c r="O29" s="2">
        <f>($B$9-$B$10*H29)*(E29/Constants!$B$3)^$B$11</f>
        <v>71578.867175983454</v>
      </c>
      <c r="P29" s="2">
        <f t="shared" si="6"/>
        <v>286315.46870393382</v>
      </c>
      <c r="Q29" s="2">
        <f>(P29-N29)*I29/B29/Constants!$B$7</f>
        <v>2.7791770871509587</v>
      </c>
      <c r="R29" s="2">
        <f t="shared" si="16"/>
        <v>1.2348402203004613E-2</v>
      </c>
      <c r="S29" s="2">
        <f>P29*$B$1*$B$12/Constants!$B$7</f>
        <v>280.18639139222881</v>
      </c>
      <c r="T29" s="10">
        <f t="shared" si="17"/>
        <v>13503.135616612464</v>
      </c>
      <c r="U29" s="12">
        <f t="shared" si="18"/>
        <v>352539.41965177108</v>
      </c>
      <c r="V29" s="10">
        <f t="shared" si="19"/>
        <v>151118.52709032901</v>
      </c>
      <c r="W29" s="7">
        <f t="shared" si="20"/>
        <v>10268.566029361222</v>
      </c>
      <c r="X29">
        <f t="shared" si="0"/>
        <v>840</v>
      </c>
      <c r="Y29" s="10">
        <f t="shared" si="1"/>
        <v>32939.419651771081</v>
      </c>
    </row>
    <row r="30" spans="1:25" x14ac:dyDescent="0.2">
      <c r="A30" s="7">
        <f t="shared" si="12"/>
        <v>10268.566029361222</v>
      </c>
      <c r="B30" s="10">
        <f t="shared" si="13"/>
        <v>352539.41965177108</v>
      </c>
      <c r="C30">
        <f>IF(A30&lt;=11000,A30*Constants!$B$2+Constants!$B$1,216.7)</f>
        <v>221.45432080915205</v>
      </c>
      <c r="D30">
        <f>IF(A30&lt;=11000, Constants!$B$4*(1-0.0065*Climb!A30/Constants!$B$1)^5.2561, 22632*EXP(9.81*(11000-A30)/Constants!$B$6/C30))</f>
        <v>25372.728178109566</v>
      </c>
      <c r="E30">
        <f>D30/(Constants!$B$6*Climb!C30)</f>
        <v>0.39920972445967318</v>
      </c>
      <c r="F30">
        <f>SQRT(Constants!$B$8*Constants!$B$6*Climb!C30)</f>
        <v>298.29573597541969</v>
      </c>
      <c r="G30" s="5">
        <f>VLOOKUP(TRUNC(A30/1000),Flight!$A$3:$C$17,3,FALSE)</f>
        <v>300</v>
      </c>
      <c r="H30">
        <f>SQRT(5*((Constants!$B$3/Climb!E30*((1+0.2*(Climb!G30/661.5)^2)^3.5-1)+1)^0.286-1))</f>
        <v>0.7595787746253001</v>
      </c>
      <c r="I30">
        <f t="shared" si="14"/>
        <v>226.57910960816133</v>
      </c>
      <c r="J30">
        <f>I30/Constants!$B$9</f>
        <v>440.43493481926379</v>
      </c>
      <c r="K30">
        <f>2*B30*Constants!$B$7/(Climb!E30*Climb!$B$2*Climb!I30^2)</f>
        <v>0.39940098894074921</v>
      </c>
      <c r="L30" s="5">
        <v>0.02</v>
      </c>
      <c r="M30">
        <f t="shared" si="15"/>
        <v>2.8027755500198405E-2</v>
      </c>
      <c r="N30">
        <f>0.5*E30*Climb!I30^2*Climb!$B$2*Climb!M30</f>
        <v>242692.23267031519</v>
      </c>
      <c r="O30" s="2">
        <f>($B$9-$B$10*H30)*(E30/Constants!$B$3)^$B$11</f>
        <v>69752.187885229709</v>
      </c>
      <c r="P30" s="2">
        <f t="shared" si="6"/>
        <v>279008.75154091883</v>
      </c>
      <c r="Q30" s="2">
        <f>(P30-N30)*I30/B30/Constants!$B$7</f>
        <v>2.3792900346793751</v>
      </c>
      <c r="R30" s="2">
        <f t="shared" si="16"/>
        <v>1.0501117107019769E-2</v>
      </c>
      <c r="S30" s="2">
        <f>P30*$B$1*$B$12/Constants!$B$7</f>
        <v>273.03608713484414</v>
      </c>
      <c r="T30" s="10">
        <f t="shared" si="17"/>
        <v>13593.99701350302</v>
      </c>
      <c r="U30" s="12">
        <f t="shared" si="18"/>
        <v>352266.38356463623</v>
      </c>
      <c r="V30" s="10">
        <f t="shared" si="19"/>
        <v>164712.52410383202</v>
      </c>
      <c r="W30" s="7">
        <f t="shared" si="20"/>
        <v>10411.323431441984</v>
      </c>
      <c r="X30">
        <f t="shared" si="0"/>
        <v>900</v>
      </c>
      <c r="Y30" s="10">
        <f t="shared" si="1"/>
        <v>32666.383564636228</v>
      </c>
    </row>
    <row r="31" spans="1:25" x14ac:dyDescent="0.2">
      <c r="A31" s="7">
        <f t="shared" si="12"/>
        <v>10411.323431441984</v>
      </c>
      <c r="B31" s="10">
        <f t="shared" si="13"/>
        <v>352266.38356463623</v>
      </c>
      <c r="C31">
        <f>IF(A31&lt;=11000,A31*Constants!$B$2+Constants!$B$1,216.7)</f>
        <v>220.52639769562711</v>
      </c>
      <c r="D31">
        <f>IF(A31&lt;=11000, Constants!$B$4*(1-0.0065*Climb!A31/Constants!$B$1)^5.2561, 22632*EXP(9.81*(11000-A31)/Constants!$B$6/C31))</f>
        <v>24818.8854511748</v>
      </c>
      <c r="E31">
        <f>D31/(Constants!$B$6*Climb!C31)</f>
        <v>0.39213878109461631</v>
      </c>
      <c r="F31">
        <f>SQRT(Constants!$B$8*Constants!$B$6*Climb!C31)</f>
        <v>297.67013050372213</v>
      </c>
      <c r="G31" s="5">
        <f>VLOOKUP(TRUNC(A31/1000),Flight!$A$3:$C$17,3,FALSE)</f>
        <v>300</v>
      </c>
      <c r="H31">
        <f>SQRT(5*((Constants!$B$3/Climb!E31*((1+0.2*(Climb!G31/661.5)^2)^3.5-1)+1)^0.286-1))</f>
        <v>0.76555199665401275</v>
      </c>
      <c r="I31">
        <f t="shared" si="14"/>
        <v>227.88196275138503</v>
      </c>
      <c r="J31">
        <f>I31/Constants!$B$9</f>
        <v>442.96748091412286</v>
      </c>
      <c r="K31">
        <f>2*B31*Constants!$B$7/(Climb!E31*Climb!$B$2*Climb!I31^2)</f>
        <v>0.40165557337982771</v>
      </c>
      <c r="L31" s="5">
        <v>0.02</v>
      </c>
      <c r="M31">
        <f t="shared" si="15"/>
        <v>2.8118643292171779E-2</v>
      </c>
      <c r="N31">
        <f>0.5*E31*Climb!I31^2*Climb!$B$2*Climb!M31</f>
        <v>241925.01298136153</v>
      </c>
      <c r="O31" s="2">
        <f>($B$9-$B$10*H31)*(E31/Constants!$B$3)^$B$11</f>
        <v>68214.37915622782</v>
      </c>
      <c r="P31" s="2">
        <f t="shared" si="6"/>
        <v>272857.51662491128</v>
      </c>
      <c r="Q31" s="2">
        <f>(P31-N31)*I31/B31/Constants!$B$7</f>
        <v>2.039786982589515</v>
      </c>
      <c r="R31" s="2">
        <f t="shared" si="16"/>
        <v>8.9511877002031066E-3</v>
      </c>
      <c r="S31" s="2">
        <f>P31*$B$1*$B$12/Constants!$B$7</f>
        <v>267.01653003049427</v>
      </c>
      <c r="T31" s="10">
        <f t="shared" si="17"/>
        <v>13672.370005941233</v>
      </c>
      <c r="U31" s="12">
        <f t="shared" si="18"/>
        <v>351999.36703460576</v>
      </c>
      <c r="V31" s="10">
        <f t="shared" si="19"/>
        <v>178384.89410977325</v>
      </c>
      <c r="W31" s="7">
        <f t="shared" si="20"/>
        <v>10533.710650397355</v>
      </c>
      <c r="X31">
        <f t="shared" si="0"/>
        <v>960</v>
      </c>
      <c r="Y31" s="10">
        <f t="shared" si="1"/>
        <v>32399.367034605762</v>
      </c>
    </row>
    <row r="32" spans="1:25" x14ac:dyDescent="0.2">
      <c r="A32" s="7">
        <f t="shared" si="12"/>
        <v>10533.710650397355</v>
      </c>
      <c r="B32" s="10">
        <f t="shared" si="13"/>
        <v>351999.36703460576</v>
      </c>
      <c r="C32">
        <f>IF(A32&lt;=11000,A32*Constants!$B$2+Constants!$B$1,216.7)</f>
        <v>219.73088077241718</v>
      </c>
      <c r="D32">
        <f>IF(A32&lt;=11000, Constants!$B$4*(1-0.0065*Climb!A32/Constants!$B$1)^5.2561, 22632*EXP(9.81*(11000-A32)/Constants!$B$6/C32))</f>
        <v>24351.902441467009</v>
      </c>
      <c r="E32">
        <f>D32/(Constants!$B$6*Climb!C32)</f>
        <v>0.38615343456756857</v>
      </c>
      <c r="F32">
        <f>SQRT(Constants!$B$8*Constants!$B$6*Climb!C32)</f>
        <v>297.132744567739</v>
      </c>
      <c r="G32" s="5">
        <f>VLOOKUP(TRUNC(A32/1000),Flight!$A$3:$C$17,3,FALSE)</f>
        <v>300</v>
      </c>
      <c r="H32">
        <f>SQRT(5*((Constants!$B$3/Climb!E32*((1+0.2*(Climb!G32/661.5)^2)^3.5-1)+1)^0.286-1))</f>
        <v>0.77072146067848235</v>
      </c>
      <c r="I32">
        <f t="shared" si="14"/>
        <v>229.0065829086542</v>
      </c>
      <c r="J32">
        <f>I32/Constants!$B$9</f>
        <v>445.15356950154768</v>
      </c>
      <c r="K32">
        <f>2*B32*Constants!$B$7/(Climb!E32*Climb!$B$2*Climb!I32^2)</f>
        <v>0.40357879716837525</v>
      </c>
      <c r="L32" s="5">
        <v>0.02</v>
      </c>
      <c r="M32">
        <f t="shared" si="15"/>
        <v>2.8196577475936343E-2</v>
      </c>
      <c r="N32">
        <f>0.5*E32*Climb!I32^2*Climb!$B$2*Climb!M32</f>
        <v>241256.45651677507</v>
      </c>
      <c r="O32" s="2">
        <f>($B$9-$B$10*H32)*(E32/Constants!$B$3)^$B$11</f>
        <v>66914.942451862385</v>
      </c>
      <c r="P32" s="2">
        <f t="shared" si="6"/>
        <v>267659.76980744954</v>
      </c>
      <c r="Q32" s="2">
        <f>(P32-N32)*I32/B32/Constants!$B$7</f>
        <v>1.751037736030352</v>
      </c>
      <c r="R32" s="2">
        <f t="shared" si="16"/>
        <v>7.6463077026342292E-3</v>
      </c>
      <c r="S32" s="2">
        <f>P32*$B$1*$B$12/Constants!$B$7</f>
        <v>261.93004996447661</v>
      </c>
      <c r="T32" s="10">
        <f t="shared" si="17"/>
        <v>13739.993303362382</v>
      </c>
      <c r="U32" s="12">
        <f t="shared" si="18"/>
        <v>351737.4369846413</v>
      </c>
      <c r="V32" s="10">
        <f t="shared" si="19"/>
        <v>192124.88741313561</v>
      </c>
      <c r="W32" s="7">
        <f t="shared" si="20"/>
        <v>10638.772914559177</v>
      </c>
      <c r="X32">
        <f t="shared" si="0"/>
        <v>1020</v>
      </c>
      <c r="Y32" s="10">
        <f t="shared" si="1"/>
        <v>32137.436984641303</v>
      </c>
    </row>
    <row r="33" spans="1:25" x14ac:dyDescent="0.2">
      <c r="A33" s="7">
        <f t="shared" si="12"/>
        <v>10638.772914559177</v>
      </c>
      <c r="B33" s="10">
        <f t="shared" si="13"/>
        <v>351737.4369846413</v>
      </c>
      <c r="C33">
        <f>IF(A33&lt;=11000,A33*Constants!$B$2+Constants!$B$1,216.7)</f>
        <v>219.04797605536533</v>
      </c>
      <c r="D33">
        <f>IF(A33&lt;=11000, Constants!$B$4*(1-0.0065*Climb!A33/Constants!$B$1)^5.2561, 22632*EXP(9.81*(11000-A33)/Constants!$B$6/C33))</f>
        <v>23956.723866473305</v>
      </c>
      <c r="E33">
        <f>D33/(Constants!$B$6*Climb!C33)</f>
        <v>0.38107133862308318</v>
      </c>
      <c r="F33">
        <f>SQRT(Constants!$B$8*Constants!$B$6*Climb!C33)</f>
        <v>296.67065372066344</v>
      </c>
      <c r="G33" s="5">
        <f>VLOOKUP(TRUNC(A33/1000),Flight!$A$3:$C$17,3,FALSE)</f>
        <v>300</v>
      </c>
      <c r="H33">
        <f>SQRT(5*((Constants!$B$3/Climb!E33*((1+0.2*(Climb!G33/661.5)^2)^3.5-1)+1)^0.286-1))</f>
        <v>0.77519524597797107</v>
      </c>
      <c r="I33">
        <f t="shared" si="14"/>
        <v>229.97768038543518</v>
      </c>
      <c r="J33">
        <f>I33/Constants!$B$9</f>
        <v>447.04123361422268</v>
      </c>
      <c r="K33">
        <f>2*B33*Constants!$B$7/(Climb!E33*Climb!$B$2*Climb!I33^2)</f>
        <v>0.40521286451572297</v>
      </c>
      <c r="L33" s="5">
        <v>2.0400000000000001E-2</v>
      </c>
      <c r="M33">
        <f t="shared" si="15"/>
        <v>2.8663086792029863E-2</v>
      </c>
      <c r="N33">
        <f>0.5*E33*Climb!I33^2*Climb!$B$2*Climb!M33</f>
        <v>244077.26943998606</v>
      </c>
      <c r="O33" s="2">
        <f>($B$9-$B$10*H33)*(E33/Constants!$B$3)^$B$11</f>
        <v>65813.286560400404</v>
      </c>
      <c r="P33" s="2">
        <f t="shared" si="6"/>
        <v>263253.14624160161</v>
      </c>
      <c r="Q33" s="2">
        <f>(P33-N33)*I33/B33/Constants!$B$7</f>
        <v>1.2780661072457964</v>
      </c>
      <c r="R33" s="2">
        <f t="shared" si="16"/>
        <v>5.5573770630847948E-3</v>
      </c>
      <c r="S33" s="2">
        <f>P33*$B$1*$B$12/Constants!$B$7</f>
        <v>257.61775778994655</v>
      </c>
      <c r="T33" s="10">
        <f t="shared" si="17"/>
        <v>13798.447741719618</v>
      </c>
      <c r="U33" s="12">
        <f t="shared" si="18"/>
        <v>351479.81922685134</v>
      </c>
      <c r="V33" s="10">
        <f t="shared" si="19"/>
        <v>205923.33515485522</v>
      </c>
      <c r="W33" s="7">
        <f t="shared" si="20"/>
        <v>10715.456880993925</v>
      </c>
      <c r="X33">
        <f t="shared" si="0"/>
        <v>1080</v>
      </c>
      <c r="Y33" s="10">
        <f t="shared" si="1"/>
        <v>31879.819226851338</v>
      </c>
    </row>
    <row r="34" spans="1:25" x14ac:dyDescent="0.2">
      <c r="A34" s="7">
        <f t="shared" si="12"/>
        <v>10715.456880993925</v>
      </c>
      <c r="B34" s="10">
        <f t="shared" si="13"/>
        <v>351479.81922685134</v>
      </c>
      <c r="C34">
        <f>IF(A34&lt;=11000,A34*Constants!$B$2+Constants!$B$1,216.7)</f>
        <v>218.54953027353949</v>
      </c>
      <c r="D34">
        <f>IF(A34&lt;=11000, Constants!$B$4*(1-0.0065*Climb!A34/Constants!$B$1)^5.2561, 22632*EXP(9.81*(11000-A34)/Constants!$B$6/C34))</f>
        <v>23671.578181448534</v>
      </c>
      <c r="E34">
        <f>D34/(Constants!$B$6*Climb!C34)</f>
        <v>0.37739438919246876</v>
      </c>
      <c r="F34">
        <f>SQRT(Constants!$B$8*Constants!$B$6*Climb!C34)</f>
        <v>296.33292301718376</v>
      </c>
      <c r="G34" s="5">
        <f>VLOOKUP(TRUNC(A34/1000),Flight!$A$3:$C$17,3,FALSE)</f>
        <v>300</v>
      </c>
      <c r="H34">
        <f>SQRT(5*((Constants!$B$3/Climb!E34*((1+0.2*(Climb!G34/661.5)^2)^3.5-1)+1)^0.286-1))</f>
        <v>0.77848183986456665</v>
      </c>
      <c r="I34">
        <f t="shared" si="14"/>
        <v>230.68979912286221</v>
      </c>
      <c r="J34">
        <f>I34/Constants!$B$9</f>
        <v>448.4254828958297</v>
      </c>
      <c r="K34">
        <f>2*B34*Constants!$B$7/(Climb!E34*Climb!$B$2*Climb!I34^2)</f>
        <v>0.4063408339621703</v>
      </c>
      <c r="L34" s="5">
        <v>2.0400000000000001E-2</v>
      </c>
      <c r="M34">
        <f t="shared" si="15"/>
        <v>2.8709153848407727E-2</v>
      </c>
      <c r="N34">
        <f>0.5*E34*Climb!I34^2*Climb!$B$2*Climb!M34</f>
        <v>243612.3643390637</v>
      </c>
      <c r="O34" s="2">
        <f>($B$9-$B$10*H34)*(E34/Constants!$B$3)^$B$11</f>
        <v>65017.212666837913</v>
      </c>
      <c r="P34" s="2">
        <f t="shared" si="6"/>
        <v>260068.85066735165</v>
      </c>
      <c r="Q34" s="2">
        <f>(P34-N34)*I34/B34/Constants!$B$7</f>
        <v>1.1010222675922756</v>
      </c>
      <c r="R34" s="2">
        <f t="shared" si="16"/>
        <v>4.7727574078261182E-3</v>
      </c>
      <c r="S34" s="2">
        <f>P34*$B$1*$B$12/Constants!$B$7</f>
        <v>254.50162756438081</v>
      </c>
      <c r="T34" s="10">
        <f t="shared" si="17"/>
        <v>13841.230299706962</v>
      </c>
      <c r="U34" s="12">
        <f t="shared" si="18"/>
        <v>351225.31759928697</v>
      </c>
      <c r="V34" s="10">
        <f t="shared" si="19"/>
        <v>219764.56545456217</v>
      </c>
      <c r="W34" s="7">
        <f t="shared" si="20"/>
        <v>10781.518217049461</v>
      </c>
      <c r="X34">
        <f t="shared" si="0"/>
        <v>1140</v>
      </c>
      <c r="Y34" s="10">
        <f t="shared" si="1"/>
        <v>31625.317599286966</v>
      </c>
    </row>
    <row r="35" spans="1:25" x14ac:dyDescent="0.2">
      <c r="A35" s="7">
        <f t="shared" si="12"/>
        <v>10781.518217049461</v>
      </c>
      <c r="B35" s="10">
        <f t="shared" si="13"/>
        <v>351225.31759928697</v>
      </c>
      <c r="C35">
        <f>IF(A35&lt;=11000,A35*Constants!$B$2+Constants!$B$1,216.7)</f>
        <v>218.1201315891785</v>
      </c>
      <c r="D35">
        <f>IF(A35&lt;=11000, Constants!$B$4*(1-0.0065*Climb!A35/Constants!$B$1)^5.2561, 22632*EXP(9.81*(11000-A35)/Constants!$B$6/C35))</f>
        <v>23428.141564137488</v>
      </c>
      <c r="E35">
        <f>D35/(Constants!$B$6*Climb!C35)</f>
        <v>0.37424860640323543</v>
      </c>
      <c r="F35">
        <f>SQRT(Constants!$B$8*Constants!$B$6*Climb!C35)</f>
        <v>296.04166746005859</v>
      </c>
      <c r="G35" s="5">
        <f>VLOOKUP(TRUNC(A35/1000),Flight!$A$3:$C$17,3,FALSE)</f>
        <v>300</v>
      </c>
      <c r="H35">
        <f>SQRT(5*((Constants!$B$3/Climb!E35*((1+0.2*(Climb!G35/661.5)^2)^3.5-1)+1)^0.286-1))</f>
        <v>0.78132760717515504</v>
      </c>
      <c r="I35">
        <f t="shared" si="14"/>
        <v>231.30552766071054</v>
      </c>
      <c r="J35">
        <f>I35/Constants!$B$9</f>
        <v>449.62236445698761</v>
      </c>
      <c r="K35">
        <f>2*B35*Constants!$B$7/(Climb!E35*Climb!$B$2*Climb!I35^2)</f>
        <v>0.40728263436858858</v>
      </c>
      <c r="L35" s="5">
        <v>2.0400000000000001E-2</v>
      </c>
      <c r="M35">
        <f t="shared" si="15"/>
        <v>2.8747715729004267E-2</v>
      </c>
      <c r="N35">
        <f>0.5*E35*Climb!I35^2*Climb!$B$2*Climb!M35</f>
        <v>243199.27159116726</v>
      </c>
      <c r="O35" s="2">
        <f>($B$9-$B$10*H35)*(E35/Constants!$B$3)^$B$11</f>
        <v>64336.807626963964</v>
      </c>
      <c r="P35" s="2">
        <f t="shared" si="6"/>
        <v>257347.23050785586</v>
      </c>
      <c r="Q35" s="2">
        <f>(P35-N35)*I35/B35/Constants!$B$7</f>
        <v>0.94978428662699144</v>
      </c>
      <c r="R35" s="2">
        <f t="shared" si="16"/>
        <v>4.1062008559494744E-3</v>
      </c>
      <c r="S35" s="2">
        <f>P35*$B$1*$B$12/Constants!$B$7</f>
        <v>251.83826838689262</v>
      </c>
      <c r="T35" s="10">
        <f t="shared" si="17"/>
        <v>13878.214659326717</v>
      </c>
      <c r="U35" s="12">
        <f t="shared" si="18"/>
        <v>350973.47933090007</v>
      </c>
      <c r="V35" s="10">
        <f t="shared" si="19"/>
        <v>233642.78011388888</v>
      </c>
      <c r="W35" s="7">
        <f t="shared" si="20"/>
        <v>10838.50527424708</v>
      </c>
      <c r="X35">
        <f t="shared" si="0"/>
        <v>1200</v>
      </c>
      <c r="Y35" s="10">
        <f t="shared" si="1"/>
        <v>31373.479330900067</v>
      </c>
    </row>
    <row r="36" spans="1:25" x14ac:dyDescent="0.2">
      <c r="A36" s="7">
        <f t="shared" si="12"/>
        <v>10838.50527424708</v>
      </c>
      <c r="B36" s="10">
        <f t="shared" si="13"/>
        <v>350973.47933090007</v>
      </c>
      <c r="C36">
        <f>IF(A36&lt;=11000,A36*Constants!$B$2+Constants!$B$1,216.7)</f>
        <v>217.74971571739397</v>
      </c>
      <c r="D36">
        <f>IF(A36&lt;=11000, Constants!$B$4*(1-0.0065*Climb!A36/Constants!$B$1)^5.2561, 22632*EXP(9.81*(11000-A36)/Constants!$B$6/C36))</f>
        <v>23219.776042430251</v>
      </c>
      <c r="E36">
        <f>D36/(Constants!$B$6*Climb!C36)</f>
        <v>0.37155108441099427</v>
      </c>
      <c r="F36">
        <f>SQRT(Constants!$B$8*Constants!$B$6*Climb!C36)</f>
        <v>295.79018877449079</v>
      </c>
      <c r="G36" s="5">
        <f>VLOOKUP(TRUNC(A36/1000),Flight!$A$3:$C$17,3,FALSE)</f>
        <v>300</v>
      </c>
      <c r="H36">
        <f>SQRT(5*((Constants!$B$3/Climb!E36*((1+0.2*(Climb!G36/661.5)^2)^3.5-1)+1)^0.286-1))</f>
        <v>0.78379327417366762</v>
      </c>
      <c r="I36">
        <f t="shared" si="14"/>
        <v>231.83836052800535</v>
      </c>
      <c r="J36">
        <f>I36/Constants!$B$9</f>
        <v>450.65810958628219</v>
      </c>
      <c r="K36">
        <f>2*B36*Constants!$B$7/(Climb!E36*Climb!$B$2*Climb!I36^2)</f>
        <v>0.40806323482097523</v>
      </c>
      <c r="L36" s="5">
        <v>2.0400000000000001E-2</v>
      </c>
      <c r="M36">
        <f t="shared" si="15"/>
        <v>2.877974496201522E-2</v>
      </c>
      <c r="N36">
        <f>0.5*E36*Climb!I36^2*Climb!$B$2*Climb!M36</f>
        <v>242830.24690214437</v>
      </c>
      <c r="O36" s="2">
        <f>($B$9-$B$10*H36)*(E36/Constants!$B$3)^$B$11</f>
        <v>63753.856354172043</v>
      </c>
      <c r="P36" s="2">
        <f t="shared" si="6"/>
        <v>255015.42541668817</v>
      </c>
      <c r="Q36" s="2">
        <f>(P36-N36)*I36/B36/Constants!$B$7</f>
        <v>0.82049111897929927</v>
      </c>
      <c r="R36" s="2">
        <f t="shared" si="16"/>
        <v>3.5390727828358889E-3</v>
      </c>
      <c r="S36" s="2">
        <f>P36*$B$1*$B$12/Constants!$B$7</f>
        <v>249.55637961266123</v>
      </c>
      <c r="T36" s="10">
        <f t="shared" si="17"/>
        <v>13910.214518255765</v>
      </c>
      <c r="U36" s="12">
        <f t="shared" si="18"/>
        <v>350723.92295128742</v>
      </c>
      <c r="V36" s="10">
        <f t="shared" si="19"/>
        <v>247552.99463214463</v>
      </c>
      <c r="W36" s="7">
        <f t="shared" si="20"/>
        <v>10887.734741385837</v>
      </c>
      <c r="X36">
        <f t="shared" si="0"/>
        <v>1260</v>
      </c>
      <c r="Y36" s="10">
        <f t="shared" si="1"/>
        <v>31123.922951287415</v>
      </c>
    </row>
    <row r="37" spans="1:25" x14ac:dyDescent="0.2">
      <c r="A37" s="7">
        <f t="shared" ref="A37:A45" si="21">W36</f>
        <v>10887.734741385837</v>
      </c>
      <c r="B37" s="10">
        <f t="shared" ref="B37:B45" si="22">U36</f>
        <v>350723.92295128742</v>
      </c>
      <c r="C37">
        <f>IF(A37&lt;=11000,A37*Constants!$B$2+Constants!$B$1,216.7)</f>
        <v>217.42972418099205</v>
      </c>
      <c r="D37">
        <f>IF(A37&lt;=11000, Constants!$B$4*(1-0.0065*Climb!A37/Constants!$B$1)^5.2561, 22632*EXP(9.81*(11000-A37)/Constants!$B$6/C37))</f>
        <v>23040.985543552746</v>
      </c>
      <c r="E37">
        <f>D37/(Constants!$B$6*Climb!C37)</f>
        <v>0.36923277117084619</v>
      </c>
      <c r="F37">
        <f>SQRT(Constants!$B$8*Constants!$B$6*Climb!C37)</f>
        <v>295.57277137098163</v>
      </c>
      <c r="G37" s="5">
        <f>VLOOKUP(TRUNC(A37/1000),Flight!$A$3:$C$17,3,FALSE)</f>
        <v>300</v>
      </c>
      <c r="H37">
        <f>SQRT(5*((Constants!$B$3/Climb!E37*((1+0.2*(Climb!G37/661.5)^2)^3.5-1)+1)^0.286-1))</f>
        <v>0.78593138000932627</v>
      </c>
      <c r="I37">
        <f t="shared" ref="I37:I45" si="23">H37*F37</f>
        <v>232.29991609677668</v>
      </c>
      <c r="J37">
        <f>I37/Constants!$B$9</f>
        <v>451.5553026117064</v>
      </c>
      <c r="K37">
        <f>2*B37*Constants!$B$7/(Climb!E37*Climb!$B$2*Climb!I37^2)</f>
        <v>0.40870442392012085</v>
      </c>
      <c r="L37" s="5">
        <v>2.0400000000000001E-2</v>
      </c>
      <c r="M37">
        <f t="shared" ref="M37:M45" si="24">K37^2/(PI()*$B$3*$B$4)+L37</f>
        <v>2.880609981076605E-2</v>
      </c>
      <c r="N37">
        <f>0.5*E37*Climb!I37^2*Climb!$B$2*Climb!M37</f>
        <v>242498.75881487053</v>
      </c>
      <c r="O37" s="2">
        <f>($B$9-$B$10*H37)*(E37/Constants!$B$3)^$B$11</f>
        <v>63253.22731784777</v>
      </c>
      <c r="P37" s="2">
        <f t="shared" si="6"/>
        <v>253012.90927139108</v>
      </c>
      <c r="Q37" s="2">
        <f>(P37-N37)*I37/B37/Constants!$B$7</f>
        <v>0.70988637834155521</v>
      </c>
      <c r="R37" s="2">
        <f t="shared" ref="R37:R45" si="25">ASIN(Q37/I37)</f>
        <v>3.055909339785117E-3</v>
      </c>
      <c r="S37" s="2">
        <f>P37*$B$1*$B$12/Constants!$B$7</f>
        <v>247.59673078545919</v>
      </c>
      <c r="T37" s="10">
        <f t="shared" ref="T37:T45" si="26">I37*COS(R37)*$B$1</f>
        <v>13937.929885303542</v>
      </c>
      <c r="U37" s="12">
        <f t="shared" ref="U37:U45" si="27">B37-S37</f>
        <v>350476.32622050197</v>
      </c>
      <c r="V37" s="10">
        <f t="shared" ref="V37:V45" si="28">V36+T37</f>
        <v>261490.92451744818</v>
      </c>
      <c r="W37" s="7">
        <f t="shared" ref="W37:W45" si="29">A37+Q37*$B$1</f>
        <v>10930.32792408633</v>
      </c>
      <c r="X37">
        <f t="shared" si="0"/>
        <v>1320</v>
      </c>
      <c r="Y37" s="10">
        <f t="shared" si="1"/>
        <v>30876.326220501971</v>
      </c>
    </row>
    <row r="38" spans="1:25" x14ac:dyDescent="0.2">
      <c r="A38" s="7">
        <f t="shared" si="21"/>
        <v>10930.32792408633</v>
      </c>
      <c r="B38" s="10">
        <f t="shared" si="22"/>
        <v>350476.32622050197</v>
      </c>
      <c r="C38">
        <f>IF(A38&lt;=11000,A38*Constants!$B$2+Constants!$B$1,216.7)</f>
        <v>217.15286849343886</v>
      </c>
      <c r="D38">
        <f>IF(A38&lt;=11000, Constants!$B$4*(1-0.0065*Climb!A38/Constants!$B$1)^5.2561, 22632*EXP(9.81*(11000-A38)/Constants!$B$6/C38))</f>
        <v>22887.197545556479</v>
      </c>
      <c r="E38">
        <f>D38/(Constants!$B$6*Climb!C38)</f>
        <v>0.36723591755711071</v>
      </c>
      <c r="F38">
        <f>SQRT(Constants!$B$8*Constants!$B$6*Climb!C38)</f>
        <v>295.38453338091978</v>
      </c>
      <c r="G38" s="5">
        <f>VLOOKUP(TRUNC(A38/1000),Flight!$A$3:$C$17,3,FALSE)</f>
        <v>300</v>
      </c>
      <c r="H38">
        <f>SQRT(5*((Constants!$B$3/Climb!E38*((1+0.2*(Climb!G38/661.5)^2)^3.5-1)+1)^0.286-1))</f>
        <v>0.78778733451720451</v>
      </c>
      <c r="I38">
        <f t="shared" si="23"/>
        <v>232.700194209763</v>
      </c>
      <c r="J38">
        <f>I38/Constants!$B$9</f>
        <v>452.33338168928589</v>
      </c>
      <c r="K38">
        <f>2*B38*Constants!$B$7/(Climb!E38*Climb!$B$2*Climb!I38^2)</f>
        <v>0.40922517168917133</v>
      </c>
      <c r="L38" s="5">
        <v>2.0400000000000001E-2</v>
      </c>
      <c r="M38">
        <f t="shared" si="24"/>
        <v>2.8827534599427343E-2</v>
      </c>
      <c r="N38">
        <f>0.5*E38*Climb!I38^2*Climb!$B$2*Climb!M38</f>
        <v>242199.28553032223</v>
      </c>
      <c r="O38" s="2">
        <f>($B$9-$B$10*H38)*(E38/Constants!$B$3)^$B$11</f>
        <v>62822.295420705945</v>
      </c>
      <c r="P38" s="2">
        <f t="shared" si="6"/>
        <v>251289.18168282378</v>
      </c>
      <c r="Q38" s="2">
        <f>(P38-N38)*I38/B38/Constants!$B$7</f>
        <v>0.61521649653707844</v>
      </c>
      <c r="R38" s="2">
        <f t="shared" si="25"/>
        <v>2.6438190794446817E-3</v>
      </c>
      <c r="S38" s="2">
        <f>P38*$B$1*$B$12/Constants!$B$7</f>
        <v>245.90990256423126</v>
      </c>
      <c r="T38" s="10">
        <f t="shared" si="26"/>
        <v>13961.96285692401</v>
      </c>
      <c r="U38" s="12">
        <f t="shared" si="27"/>
        <v>350230.41631793772</v>
      </c>
      <c r="V38" s="10">
        <f t="shared" si="28"/>
        <v>275452.88737437216</v>
      </c>
      <c r="W38" s="7">
        <f t="shared" si="29"/>
        <v>10967.240913878555</v>
      </c>
      <c r="X38">
        <f t="shared" si="0"/>
        <v>1380</v>
      </c>
      <c r="Y38" s="10">
        <f t="shared" si="1"/>
        <v>30630.416317937721</v>
      </c>
    </row>
    <row r="39" spans="1:25" x14ac:dyDescent="0.2">
      <c r="A39" s="7">
        <f t="shared" si="21"/>
        <v>10967.240913878555</v>
      </c>
      <c r="B39" s="10">
        <f t="shared" si="22"/>
        <v>350230.41631793772</v>
      </c>
      <c r="C39">
        <f>IF(A39&lt;=11000,A39*Constants!$B$2+Constants!$B$1,216.7)</f>
        <v>216.91293405978939</v>
      </c>
      <c r="D39">
        <f>IF(A39&lt;=11000, Constants!$B$4*(1-0.0065*Climb!A39/Constants!$B$1)^5.2561, 22632*EXP(9.81*(11000-A39)/Constants!$B$6/C39))</f>
        <v>22754.591870133048</v>
      </c>
      <c r="E39">
        <f>D39/(Constants!$B$6*Climb!C39)</f>
        <v>0.36551205475176968</v>
      </c>
      <c r="F39">
        <f>SQRT(Constants!$B$8*Constants!$B$6*Climb!C39)</f>
        <v>295.22130157768657</v>
      </c>
      <c r="G39" s="5">
        <f>VLOOKUP(TRUNC(A39/1000),Flight!$A$3:$C$17,3,FALSE)</f>
        <v>300</v>
      </c>
      <c r="H39">
        <f>SQRT(5*((Constants!$B$3/Climb!E39*((1+0.2*(Climb!G39/661.5)^2)^3.5-1)+1)^0.286-1))</f>
        <v>0.78940035165131195</v>
      </c>
      <c r="I39">
        <f t="shared" si="23"/>
        <v>233.0477992803838</v>
      </c>
      <c r="J39">
        <f>I39/Constants!$B$9</f>
        <v>453.00907247510668</v>
      </c>
      <c r="K39">
        <f>2*B39*Constants!$B$7/(Climb!E39*Climb!$B$2*Climb!I39^2)</f>
        <v>0.40964196187183549</v>
      </c>
      <c r="L39" s="5">
        <v>2.0400000000000001E-2</v>
      </c>
      <c r="M39">
        <f t="shared" si="24"/>
        <v>2.8844709996502373E-2</v>
      </c>
      <c r="N39">
        <f>0.5*E39*Climb!I39^2*Climb!$B$2*Climb!M39</f>
        <v>241927.14887747745</v>
      </c>
      <c r="O39" s="2">
        <f>($B$9-$B$10*H39)*(E39/Constants!$B$3)^$B$11</f>
        <v>62450.486445413109</v>
      </c>
      <c r="P39" s="2">
        <f t="shared" si="6"/>
        <v>249801.94578165244</v>
      </c>
      <c r="Q39" s="2">
        <f>(P39-N39)*I39/B39/Constants!$B$7</f>
        <v>0.53414786921758139</v>
      </c>
      <c r="R39" s="2">
        <f t="shared" si="25"/>
        <v>2.292011932925643E-3</v>
      </c>
      <c r="S39" s="2">
        <f>P39*$B$1*$B$12/Constants!$B$7</f>
        <v>244.4545035172134</v>
      </c>
      <c r="T39" s="10">
        <f t="shared" si="26"/>
        <v>13982.831228608244</v>
      </c>
      <c r="U39" s="12">
        <f t="shared" si="27"/>
        <v>349985.96181442053</v>
      </c>
      <c r="V39" s="10">
        <f t="shared" si="28"/>
        <v>289435.71860298043</v>
      </c>
      <c r="W39" s="7">
        <f t="shared" si="29"/>
        <v>10999.28978603161</v>
      </c>
      <c r="X39">
        <f t="shared" si="0"/>
        <v>1440</v>
      </c>
      <c r="Y39" s="10">
        <f t="shared" si="1"/>
        <v>30385.961814420531</v>
      </c>
    </row>
    <row r="40" spans="1:25" x14ac:dyDescent="0.2">
      <c r="A40" s="7">
        <f t="shared" si="21"/>
        <v>10999.28978603161</v>
      </c>
      <c r="B40" s="10">
        <f t="shared" si="22"/>
        <v>349985.96181442053</v>
      </c>
      <c r="C40">
        <f>IF(A40&lt;=11000,A40*Constants!$B$2+Constants!$B$1,216.7)</f>
        <v>216.70461639079451</v>
      </c>
      <c r="D40">
        <f>IF(A40&lt;=11000, Constants!$B$4*(1-0.0065*Climb!A40/Constants!$B$1)^5.2561, 22632*EXP(9.81*(11000-A40)/Constants!$B$6/C40))</f>
        <v>22639.965175871064</v>
      </c>
      <c r="E40">
        <f>D40/(Constants!$B$6*Climb!C40)</f>
        <v>0.36402037666293774</v>
      </c>
      <c r="F40">
        <f>SQRT(Constants!$B$8*Constants!$B$6*Climb!C40)</f>
        <v>295.07950600782362</v>
      </c>
      <c r="G40" s="5">
        <f>VLOOKUP(TRUNC(A40/1000),Flight!$A$3:$C$17,3,FALSE)</f>
        <v>300</v>
      </c>
      <c r="H40">
        <f>SQRT(5*((Constants!$B$3/Climb!E40*((1+0.2*(Climb!G40/661.5)^2)^3.5-1)+1)^0.286-1))</f>
        <v>0.7908042697010631</v>
      </c>
      <c r="I40">
        <f t="shared" si="23"/>
        <v>233.35013325226743</v>
      </c>
      <c r="J40">
        <f>I40/Constants!$B$9</f>
        <v>453.59676320895454</v>
      </c>
      <c r="K40">
        <f>2*B40*Constants!$B$7/(Climb!E40*Climb!$B$2*Climb!I40^2)</f>
        <v>0.40996909365126721</v>
      </c>
      <c r="L40" s="5">
        <v>2.0400000000000001E-2</v>
      </c>
      <c r="M40">
        <f t="shared" si="24"/>
        <v>2.8858202930901893E-2</v>
      </c>
      <c r="N40">
        <f>0.5*E40*Climb!I40^2*Climb!$B$2*Climb!M40</f>
        <v>241678.3779599836</v>
      </c>
      <c r="O40" s="2">
        <f>($B$9-$B$10*H40)*(E40/Constants!$B$3)^$B$11</f>
        <v>62128.914293804322</v>
      </c>
      <c r="P40" s="2">
        <f t="shared" si="6"/>
        <v>248515.65717521729</v>
      </c>
      <c r="Q40" s="2">
        <f>(P40-N40)*I40/B40/Constants!$B$7</f>
        <v>0.46469899862959241</v>
      </c>
      <c r="R40" s="2">
        <f t="shared" si="25"/>
        <v>1.9914250714221059E-3</v>
      </c>
      <c r="S40" s="2">
        <f>P40*$B$1*$B$12/Constants!$B$7</f>
        <v>243.19575014088545</v>
      </c>
      <c r="T40" s="10">
        <f t="shared" si="26"/>
        <v>14000.980232729775</v>
      </c>
      <c r="U40" s="12">
        <f t="shared" si="27"/>
        <v>349742.76606427965</v>
      </c>
      <c r="V40" s="10">
        <f t="shared" si="28"/>
        <v>303436.69883571018</v>
      </c>
      <c r="W40" s="7">
        <f t="shared" si="29"/>
        <v>11027.171725949385</v>
      </c>
      <c r="X40">
        <f t="shared" si="0"/>
        <v>1500</v>
      </c>
      <c r="Y40" s="10">
        <f t="shared" si="1"/>
        <v>30142.766064279655</v>
      </c>
    </row>
    <row r="41" spans="1:25" x14ac:dyDescent="0.2">
      <c r="A41" s="7">
        <f t="shared" si="21"/>
        <v>11027.171725949385</v>
      </c>
      <c r="B41" s="10">
        <f t="shared" si="22"/>
        <v>349742.76606427965</v>
      </c>
      <c r="C41">
        <f>IF(A41&lt;=11000,A41*Constants!$B$2+Constants!$B$1,216.7)</f>
        <v>216.7</v>
      </c>
      <c r="D41">
        <f>IF(A41&lt;=11000, Constants!$B$4*(1-0.0065*Climb!A41/Constants!$B$1)^5.2561, 22632*EXP(9.81*(11000-A41)/Constants!$B$6/C41))</f>
        <v>22535.208323267943</v>
      </c>
      <c r="E41">
        <f>D41/(Constants!$B$6*Climb!C41)</f>
        <v>0.362343745399683</v>
      </c>
      <c r="F41">
        <f>SQRT(Constants!$B$8*Constants!$B$6*Climb!C41)</f>
        <v>295.07636299778397</v>
      </c>
      <c r="G41" s="5">
        <v>300</v>
      </c>
      <c r="H41">
        <f>SQRT(5*((Constants!$B$3/Climb!E41*((1+0.2*(Climb!G41/661.5)^2)^3.5-1)+1)^0.286-1))</f>
        <v>0.79239138305898582</v>
      </c>
      <c r="I41">
        <f t="shared" si="23"/>
        <v>233.81596738382939</v>
      </c>
      <c r="J41">
        <f>I41/Constants!$B$9</f>
        <v>454.50227310228007</v>
      </c>
      <c r="K41">
        <f>2*B41*Constants!$B$7/(Climb!E41*Climb!$B$2*Climb!I41^2)</f>
        <v>0.40994154492539109</v>
      </c>
      <c r="L41" s="5">
        <v>2.0400000000000001E-2</v>
      </c>
      <c r="M41">
        <f t="shared" si="24"/>
        <v>2.8857066236020891E-2</v>
      </c>
      <c r="N41">
        <f>0.5*E41*Climb!I41^2*Climb!$B$2*Climb!M41</f>
        <v>241517.15861187415</v>
      </c>
      <c r="O41" s="2">
        <f>($B$9-$B$10*H41)*(E41/Constants!$B$3)^$B$11</f>
        <v>61767.647211491145</v>
      </c>
      <c r="P41" s="2">
        <f t="shared" si="6"/>
        <v>247070.58884596458</v>
      </c>
      <c r="Q41" s="2">
        <f>(P41-N41)*I41/B41/Constants!$B$7</f>
        <v>0.37845804225186191</v>
      </c>
      <c r="R41" s="2">
        <f t="shared" si="25"/>
        <v>1.6186157504179913E-3</v>
      </c>
      <c r="S41" s="2">
        <f>P41*$B$1*$B$12/Constants!$B$7</f>
        <v>241.78161599605096</v>
      </c>
      <c r="T41" s="10">
        <f t="shared" si="26"/>
        <v>14028.93966568131</v>
      </c>
      <c r="U41" s="12">
        <f t="shared" si="27"/>
        <v>349500.98444828362</v>
      </c>
      <c r="V41" s="10">
        <f t="shared" si="28"/>
        <v>317465.63850139151</v>
      </c>
      <c r="W41" s="7">
        <f t="shared" si="29"/>
        <v>11049.879208484497</v>
      </c>
      <c r="X41">
        <f t="shared" si="0"/>
        <v>1560</v>
      </c>
      <c r="Y41" s="10">
        <f t="shared" si="1"/>
        <v>29900.98444828362</v>
      </c>
    </row>
    <row r="42" spans="1:25" x14ac:dyDescent="0.2">
      <c r="A42" s="7">
        <f t="shared" si="21"/>
        <v>11049.879208484497</v>
      </c>
      <c r="B42" s="10">
        <f t="shared" si="22"/>
        <v>349500.98444828362</v>
      </c>
      <c r="C42">
        <f>IF(A42&lt;=11000,A42*Constants!$B$2+Constants!$B$1,216.7)</f>
        <v>216.7</v>
      </c>
      <c r="D42">
        <f>IF(A42&lt;=11000, Constants!$B$4*(1-0.0065*Climb!A42/Constants!$B$1)^5.2561, 22632*EXP(9.81*(11000-A42)/Constants!$B$6/C42))</f>
        <v>22454.636864462249</v>
      </c>
      <c r="E42">
        <f>D42/(Constants!$B$6*Climb!C42)</f>
        <v>0.36104823644599709</v>
      </c>
      <c r="F42">
        <f>SQRT(Constants!$B$8*Constants!$B$6*Climb!C42)</f>
        <v>295.07636299778397</v>
      </c>
      <c r="G42" s="5">
        <f>VLOOKUP(TRUNC(A42/1000),Flight!$A$3:$C$17,3,FALSE)</f>
        <v>300</v>
      </c>
      <c r="H42">
        <f>SQRT(5*((Constants!$B$3/Climb!E42*((1+0.2*(Climb!G42/661.5)^2)^3.5-1)+1)^0.286-1))</f>
        <v>0.79362439687098996</v>
      </c>
      <c r="I42">
        <f t="shared" si="23"/>
        <v>234.1798006150016</v>
      </c>
      <c r="J42">
        <f>I42/Constants!$B$9</f>
        <v>455.20950893586394</v>
      </c>
      <c r="K42">
        <f>2*B42*Constants!$B$7/(Climb!E42*Climb!$B$2*Climb!I42^2)</f>
        <v>0.40985157245604192</v>
      </c>
      <c r="L42" s="5">
        <v>2.0400000000000001E-2</v>
      </c>
      <c r="M42">
        <f t="shared" si="24"/>
        <v>2.8853354391529862E-2</v>
      </c>
      <c r="N42">
        <f>0.5*E42*Climb!I42^2*Climb!$B$2*Climb!M42</f>
        <v>241372.1256616844</v>
      </c>
      <c r="O42" s="2">
        <f>($B$9-$B$10*H42)*(E42/Constants!$B$3)^$B$11</f>
        <v>61488.630401073489</v>
      </c>
      <c r="P42" s="2">
        <f t="shared" si="6"/>
        <v>245954.52160429396</v>
      </c>
      <c r="Q42" s="2">
        <f>(P42-N42)*I42/B42/Constants!$B$7</f>
        <v>0.31298579900468099</v>
      </c>
      <c r="R42" s="2">
        <f t="shared" si="25"/>
        <v>1.3365195946150161E-3</v>
      </c>
      <c r="S42" s="2">
        <f>P42*$B$1*$B$12/Constants!$B$7</f>
        <v>240.68944010206138</v>
      </c>
      <c r="T42" s="10">
        <f t="shared" si="26"/>
        <v>14050.775487548632</v>
      </c>
      <c r="U42" s="12">
        <f t="shared" si="27"/>
        <v>349260.29500818154</v>
      </c>
      <c r="V42" s="10">
        <f t="shared" si="28"/>
        <v>331516.41398894013</v>
      </c>
      <c r="W42" s="7">
        <f t="shared" si="29"/>
        <v>11068.658356424778</v>
      </c>
      <c r="X42">
        <f t="shared" si="0"/>
        <v>1620</v>
      </c>
      <c r="Y42" s="10">
        <f t="shared" si="1"/>
        <v>29660.295008181536</v>
      </c>
    </row>
    <row r="43" spans="1:25" x14ac:dyDescent="0.2">
      <c r="A43" s="7">
        <f t="shared" si="21"/>
        <v>11068.658356424778</v>
      </c>
      <c r="B43" s="10">
        <f t="shared" si="22"/>
        <v>349260.29500818154</v>
      </c>
      <c r="C43">
        <f>IF(A43&lt;=11000,A43*Constants!$B$2+Constants!$B$1,216.7)</f>
        <v>216.7</v>
      </c>
      <c r="D43">
        <f>IF(A43&lt;=11000, Constants!$B$4*(1-0.0065*Climb!A43/Constants!$B$1)^5.2561, 22632*EXP(9.81*(11000-A43)/Constants!$B$6/C43))</f>
        <v>22388.221729557212</v>
      </c>
      <c r="E43">
        <f>D43/(Constants!$B$6*Climb!C43)</f>
        <v>0.35998034710645771</v>
      </c>
      <c r="F43">
        <f>SQRT(Constants!$B$8*Constants!$B$6*Climb!C43)</f>
        <v>295.07636299778397</v>
      </c>
      <c r="G43" s="5">
        <f>VLOOKUP(TRUNC(A43/1000),Flight!$A$3:$C$17,3,FALSE)</f>
        <v>300</v>
      </c>
      <c r="H43">
        <f>SQRT(5*((Constants!$B$3/Climb!E43*((1+0.2*(Climb!G43/661.5)^2)^3.5-1)+1)^0.286-1))</f>
        <v>0.79464518265123318</v>
      </c>
      <c r="I43">
        <f t="shared" si="23"/>
        <v>234.48101037043563</v>
      </c>
      <c r="J43">
        <f>I43/Constants!$B$9</f>
        <v>455.79501436586997</v>
      </c>
      <c r="K43">
        <f>2*B43*Constants!$B$7/(Climb!E43*Climb!$B$2*Climb!I43^2)</f>
        <v>0.40972962443306504</v>
      </c>
      <c r="L43" s="5">
        <v>2.0400000000000001E-2</v>
      </c>
      <c r="M43">
        <f t="shared" si="24"/>
        <v>2.8848324685356495E-2</v>
      </c>
      <c r="N43">
        <f>0.5*E43*Climb!I43^2*Climb!$B$2*Climb!M43</f>
        <v>241235.63167696298</v>
      </c>
      <c r="O43" s="2">
        <f>($B$9-$B$10*H43)*(E43/Constants!$B$3)^$B$11</f>
        <v>61258.72173501573</v>
      </c>
      <c r="P43" s="2">
        <f t="shared" si="6"/>
        <v>245034.88694006292</v>
      </c>
      <c r="Q43" s="2">
        <f>(P43-N43)*I43/B43/Constants!$B$7</f>
        <v>0.26000872801336328</v>
      </c>
      <c r="R43" s="2">
        <f t="shared" si="25"/>
        <v>1.1088692465401433E-3</v>
      </c>
      <c r="S43" s="2">
        <f>P43*$B$1*$B$12/Constants!$B$7</f>
        <v>239.78949180678941</v>
      </c>
      <c r="T43" s="10">
        <f t="shared" si="26"/>
        <v>14068.851972754781</v>
      </c>
      <c r="U43" s="12">
        <f t="shared" si="27"/>
        <v>349020.50551637477</v>
      </c>
      <c r="V43" s="10">
        <f t="shared" si="28"/>
        <v>345585.26596169488</v>
      </c>
      <c r="W43" s="7">
        <f t="shared" si="29"/>
        <v>11084.258880105579</v>
      </c>
      <c r="X43">
        <f t="shared" si="0"/>
        <v>1680</v>
      </c>
      <c r="Y43" s="10">
        <f t="shared" si="1"/>
        <v>29420.505516374775</v>
      </c>
    </row>
    <row r="44" spans="1:25" x14ac:dyDescent="0.2">
      <c r="A44" s="7">
        <f t="shared" si="21"/>
        <v>11084.258880105579</v>
      </c>
      <c r="B44" s="10">
        <f t="shared" si="22"/>
        <v>349020.50551637477</v>
      </c>
      <c r="C44">
        <f>IF(A44&lt;=11000,A44*Constants!$B$2+Constants!$B$1,216.7)</f>
        <v>216.7</v>
      </c>
      <c r="D44">
        <f>IF(A44&lt;=11000, Constants!$B$4*(1-0.0065*Climb!A44/Constants!$B$1)^5.2561, 22632*EXP(9.81*(11000-A44)/Constants!$B$6/C44))</f>
        <v>22333.197655819244</v>
      </c>
      <c r="E44">
        <f>D44/(Constants!$B$6*Climb!C44)</f>
        <v>0.35909561470552498</v>
      </c>
      <c r="F44">
        <f>SQRT(Constants!$B$8*Constants!$B$6*Climb!C44)</f>
        <v>295.07636299778397</v>
      </c>
      <c r="G44" s="5">
        <f>VLOOKUP(TRUNC(A44/1000),Flight!$A$3:$C$17,3,FALSE)</f>
        <v>300</v>
      </c>
      <c r="H44">
        <f>SQRT(5*((Constants!$B$3/Climb!E44*((1+0.2*(Climb!G44/661.5)^2)^3.5-1)+1)^0.286-1))</f>
        <v>0.79549393018000891</v>
      </c>
      <c r="I44">
        <f t="shared" si="23"/>
        <v>234.73145570433013</v>
      </c>
      <c r="J44">
        <f>I44/Constants!$B$9</f>
        <v>456.28184156940335</v>
      </c>
      <c r="K44">
        <f>2*B44*Constants!$B$7/(Climb!E44*Climb!$B$2*Climb!I44^2)</f>
        <v>0.40958170694258811</v>
      </c>
      <c r="L44" s="5">
        <v>2.0400000000000001E-2</v>
      </c>
      <c r="M44">
        <f t="shared" si="24"/>
        <v>2.884222588584975E-2</v>
      </c>
      <c r="N44">
        <f>0.5*E44*Climb!I44^2*Climb!$B$2*Climb!M44</f>
        <v>241106.08590636952</v>
      </c>
      <c r="O44" s="2">
        <f>($B$9-$B$10*H44)*(E44/Constants!$B$3)^$B$11</f>
        <v>61068.304011832079</v>
      </c>
      <c r="P44" s="2">
        <f t="shared" si="6"/>
        <v>244273.21604732831</v>
      </c>
      <c r="Q44" s="2">
        <f>(P44-N44)*I44/B44/Constants!$B$7</f>
        <v>0.21712870936713358</v>
      </c>
      <c r="R44" s="2">
        <f t="shared" si="25"/>
        <v>9.2500913300986838E-4</v>
      </c>
      <c r="S44" s="2">
        <f>P44*$B$1*$B$12/Constants!$B$7</f>
        <v>239.04412579555066</v>
      </c>
      <c r="T44" s="10">
        <f t="shared" si="26"/>
        <v>14083.881316878202</v>
      </c>
      <c r="U44" s="12">
        <f t="shared" si="27"/>
        <v>348781.46139057924</v>
      </c>
      <c r="V44" s="10">
        <f t="shared" si="28"/>
        <v>359669.14727857307</v>
      </c>
      <c r="W44" s="7">
        <f t="shared" si="29"/>
        <v>11097.286602667607</v>
      </c>
      <c r="X44">
        <f t="shared" si="0"/>
        <v>1740</v>
      </c>
      <c r="Y44" s="10">
        <f t="shared" si="1"/>
        <v>29181.461390579236</v>
      </c>
    </row>
    <row r="45" spans="1:25" x14ac:dyDescent="0.2">
      <c r="A45" s="7">
        <f t="shared" si="21"/>
        <v>11097.286602667607</v>
      </c>
      <c r="B45" s="10">
        <f t="shared" si="22"/>
        <v>348781.46139057924</v>
      </c>
      <c r="C45">
        <f>IF(A45&lt;=11000,A45*Constants!$B$2+Constants!$B$1,216.7)</f>
        <v>216.7</v>
      </c>
      <c r="D45">
        <f>IF(A45&lt;=11000, Constants!$B$4*(1-0.0065*Climb!A45/Constants!$B$1)^5.2561, 22632*EXP(9.81*(11000-A45)/Constants!$B$6/C45))</f>
        <v>22287.351654289814</v>
      </c>
      <c r="E45">
        <f>D45/(Constants!$B$6*Climb!C45)</f>
        <v>0.35835845658089294</v>
      </c>
      <c r="F45">
        <f>SQRT(Constants!$B$8*Constants!$B$6*Climb!C45)</f>
        <v>295.07636299778397</v>
      </c>
      <c r="G45" s="5">
        <f>VLOOKUP(TRUNC(A45/1000),Flight!$A$3:$C$17,3,FALSE)</f>
        <v>300</v>
      </c>
      <c r="H45">
        <f>SQRT(5*((Constants!$B$3/Climb!E45*((1+0.2*(Climb!G45/661.5)^2)^3.5-1)+1)^0.286-1))</f>
        <v>0.7962032212902701</v>
      </c>
      <c r="I45">
        <f t="shared" si="23"/>
        <v>234.94075074545268</v>
      </c>
      <c r="J45">
        <f>I45/Constants!$B$9</f>
        <v>456.68867893386386</v>
      </c>
      <c r="K45">
        <f>2*B45*Constants!$B$7/(Climb!E45*Climb!$B$2*Climb!I45^2)</f>
        <v>0.40941271406451663</v>
      </c>
      <c r="L45" s="5">
        <v>2.0400000000000001E-2</v>
      </c>
      <c r="M45">
        <f t="shared" si="24"/>
        <v>2.8835260820255934E-2</v>
      </c>
      <c r="N45">
        <f>0.5*E45*Climb!I45^2*Climb!$B$2*Climb!M45</f>
        <v>240982.19683406709</v>
      </c>
      <c r="O45" s="2">
        <f>($B$9-$B$10*H45)*(E45/Constants!$B$3)^$B$11</f>
        <v>60909.688903153467</v>
      </c>
      <c r="P45" s="2">
        <f t="shared" si="6"/>
        <v>243638.75561261387</v>
      </c>
      <c r="Q45" s="2">
        <f>(P45-N45)*I45/B45/Constants!$B$7</f>
        <v>0.18241283004203085</v>
      </c>
      <c r="R45" s="2">
        <f t="shared" si="25"/>
        <v>7.7642064133420156E-4</v>
      </c>
      <c r="S45" s="2">
        <f>P45*$B$1*$B$12/Constants!$B$7</f>
        <v>238.42324708268026</v>
      </c>
      <c r="T45" s="10">
        <f t="shared" si="26"/>
        <v>14096.440795854352</v>
      </c>
      <c r="U45" s="12">
        <f t="shared" si="27"/>
        <v>348543.03814349655</v>
      </c>
      <c r="V45" s="10">
        <f t="shared" si="28"/>
        <v>373765.58807442745</v>
      </c>
      <c r="W45" s="7">
        <f t="shared" si="29"/>
        <v>11108.231372470129</v>
      </c>
      <c r="X45">
        <f t="shared" si="0"/>
        <v>1800</v>
      </c>
      <c r="Y45" s="10">
        <f t="shared" si="1"/>
        <v>28943.038143496553</v>
      </c>
    </row>
    <row r="46" spans="1:25" x14ac:dyDescent="0.2">
      <c r="A46" s="7">
        <f t="shared" ref="A46:A50" si="30">W45</f>
        <v>11108.231372470129</v>
      </c>
      <c r="B46" s="10">
        <f t="shared" ref="B46:B50" si="31">U45</f>
        <v>348543.03814349655</v>
      </c>
      <c r="C46">
        <f>IF(A46&lt;=11000,A46*Constants!$B$2+Constants!$B$1,216.7)</f>
        <v>216.7</v>
      </c>
      <c r="D46">
        <f>IF(A46&lt;=11000, Constants!$B$4*(1-0.0065*Climb!A46/Constants!$B$1)^5.2561, 22632*EXP(9.81*(11000-A46)/Constants!$B$6/C46))</f>
        <v>22248.908547937102</v>
      </c>
      <c r="E46">
        <f>D46/(Constants!$B$6*Climb!C46)</f>
        <v>0.35774032965076569</v>
      </c>
      <c r="F46">
        <f>SQRT(Constants!$B$8*Constants!$B$6*Climb!C46)</f>
        <v>295.07636299778397</v>
      </c>
      <c r="G46" s="5">
        <f>VLOOKUP(TRUNC(A46/1000),Flight!$A$3:$C$17,3,FALSE)</f>
        <v>300</v>
      </c>
      <c r="H46">
        <f>SQRT(5*((Constants!$B$3/Climb!E46*((1+0.2*(Climb!G46/661.5)^2)^3.5-1)+1)^0.286-1))</f>
        <v>0.796799470238721</v>
      </c>
      <c r="I46">
        <f t="shared" ref="I46:I50" si="32">H46*F46</f>
        <v>235.11668971660279</v>
      </c>
      <c r="J46">
        <f>I46/Constants!$B$9</f>
        <v>457.03067722940261</v>
      </c>
      <c r="K46">
        <f>2*B46*Constants!$B$7/(Climb!E46*Climb!$B$2*Climb!I46^2)</f>
        <v>0.40922662947118477</v>
      </c>
      <c r="L46" s="5">
        <v>2.0400000000000001E-2</v>
      </c>
      <c r="M46">
        <f t="shared" ref="M46:M50" si="33">K46^2/(PI()*$B$3*$B$4)+L46</f>
        <v>2.8827594642313697E-2</v>
      </c>
      <c r="N46">
        <f>0.5*E46*Climb!I46^2*Climb!$B$2*Climb!M46</f>
        <v>240862.91600273849</v>
      </c>
      <c r="O46" s="2">
        <f>($B$9-$B$10*H46)*(E46/Constants!$B$3)^$B$11</f>
        <v>60776.714517767999</v>
      </c>
      <c r="P46" s="2">
        <f t="shared" ref="P46:P50" si="34">O46*$B$13</f>
        <v>243106.858071072</v>
      </c>
      <c r="Q46" s="2">
        <f>(P46-N46)*I46/B46/Constants!$B$7</f>
        <v>0.15430133347175704</v>
      </c>
      <c r="R46" s="2">
        <f t="shared" ref="R46:R50" si="35">ASIN(Q46/I46)</f>
        <v>6.5627559121365616E-4</v>
      </c>
      <c r="S46" s="2">
        <f>P46*$B$1*$B$12/Constants!$B$7</f>
        <v>237.90273572704294</v>
      </c>
      <c r="T46" s="10">
        <f t="shared" ref="T46:T50" si="36">I46*COS(R46)*$B$1</f>
        <v>14106.998345070093</v>
      </c>
      <c r="U46" s="12">
        <f t="shared" ref="U46:U50" si="37">B46-S46</f>
        <v>348305.13540776953</v>
      </c>
      <c r="V46" s="10">
        <f t="shared" ref="V46:V50" si="38">V45+T46</f>
        <v>387872.58641949756</v>
      </c>
      <c r="W46" s="7">
        <f t="shared" ref="W46:W50" si="39">A46+Q46*$B$1</f>
        <v>11117.489452478434</v>
      </c>
      <c r="X46">
        <f t="shared" si="0"/>
        <v>1860</v>
      </c>
      <c r="Y46" s="10">
        <f t="shared" si="1"/>
        <v>28705.135407769529</v>
      </c>
    </row>
    <row r="47" spans="1:25" x14ac:dyDescent="0.2">
      <c r="A47" s="7">
        <f t="shared" si="30"/>
        <v>11117.489452478434</v>
      </c>
      <c r="B47" s="10">
        <f t="shared" si="31"/>
        <v>348305.13540776953</v>
      </c>
      <c r="C47">
        <f>IF(A47&lt;=11000,A47*Constants!$B$2+Constants!$B$1,216.7)</f>
        <v>216.7</v>
      </c>
      <c r="D47">
        <f>IF(A47&lt;=11000, Constants!$B$4*(1-0.0065*Climb!A47/Constants!$B$1)^5.2561, 22632*EXP(9.81*(11000-A47)/Constants!$B$6/C47))</f>
        <v>22216.441651687477</v>
      </c>
      <c r="E47">
        <f>D47/(Constants!$B$6*Climb!C47)</f>
        <v>0.35721829423756535</v>
      </c>
      <c r="F47">
        <f>SQRT(Constants!$B$8*Constants!$B$6*Climb!C47)</f>
        <v>295.07636299778397</v>
      </c>
      <c r="G47" s="5">
        <f>VLOOKUP(TRUNC(A47/1000),Flight!$A$3:$C$17,3,FALSE)</f>
        <v>300</v>
      </c>
      <c r="H47">
        <f>SQRT(5*((Constants!$B$3/Climb!E47*((1+0.2*(Climb!G47/661.5)^2)^3.5-1)+1)^0.286-1))</f>
        <v>0.79730409098322919</v>
      </c>
      <c r="I47">
        <f t="shared" si="32"/>
        <v>235.26559137058553</v>
      </c>
      <c r="J47">
        <f>I47/Constants!$B$9</f>
        <v>457.32011913947002</v>
      </c>
      <c r="K47">
        <f>2*B47*Constants!$B$7/(Climb!E47*Climb!$B$2*Climb!I47^2)</f>
        <v>0.40902669292742661</v>
      </c>
      <c r="L47" s="5">
        <v>2.0400000000000001E-2</v>
      </c>
      <c r="M47">
        <f t="shared" si="33"/>
        <v>2.8819361685776215E-2</v>
      </c>
      <c r="N47">
        <f>0.5*E47*Climb!I47^2*Climb!$B$2*Climb!M47</f>
        <v>240747.3923533076</v>
      </c>
      <c r="O47" s="2">
        <f>($B$9-$B$10*H47)*(E47/Constants!$B$3)^$B$11</f>
        <v>60664.432213996537</v>
      </c>
      <c r="P47" s="2">
        <f t="shared" si="34"/>
        <v>242657.72885598615</v>
      </c>
      <c r="Q47" s="2">
        <f>(P47-N47)*I47/B47/Constants!$B$7</f>
        <v>0.1315344167762188</v>
      </c>
      <c r="R47" s="2">
        <f t="shared" si="35"/>
        <v>5.5908908252353241E-4</v>
      </c>
      <c r="S47" s="2">
        <f>P47*$B$1*$B$12/Constants!$B$7</f>
        <v>237.46322089882437</v>
      </c>
      <c r="T47" s="10">
        <f t="shared" si="36"/>
        <v>14115.933276051383</v>
      </c>
      <c r="U47" s="12">
        <f t="shared" si="37"/>
        <v>348067.67218687071</v>
      </c>
      <c r="V47" s="10">
        <f t="shared" si="38"/>
        <v>401988.51969554892</v>
      </c>
      <c r="W47" s="7">
        <f t="shared" si="39"/>
        <v>11125.381517485008</v>
      </c>
      <c r="X47">
        <f t="shared" si="0"/>
        <v>1920</v>
      </c>
      <c r="Y47" s="10">
        <f t="shared" si="1"/>
        <v>28467.67218687071</v>
      </c>
    </row>
    <row r="48" spans="1:25" x14ac:dyDescent="0.2">
      <c r="A48" s="7">
        <f t="shared" si="30"/>
        <v>11125.381517485008</v>
      </c>
      <c r="B48" s="10">
        <f t="shared" si="31"/>
        <v>348067.67218687071</v>
      </c>
      <c r="C48">
        <f>IF(A48&lt;=11000,A48*Constants!$B$2+Constants!$B$1,216.7)</f>
        <v>216.7</v>
      </c>
      <c r="D48">
        <f>IF(A48&lt;=11000, Constants!$B$4*(1-0.0065*Climb!A48/Constants!$B$1)^5.2561, 22632*EXP(9.81*(11000-A48)/Constants!$B$6/C48))</f>
        <v>22188.802604666394</v>
      </c>
      <c r="E48">
        <f>D48/(Constants!$B$6*Climb!C48)</f>
        <v>0.35677388584012637</v>
      </c>
      <c r="F48">
        <f>SQRT(Constants!$B$8*Constants!$B$6*Climb!C48)</f>
        <v>295.07636299778397</v>
      </c>
      <c r="G48" s="5">
        <f>VLOOKUP(TRUNC(A48/1000),Flight!$A$3:$C$17,3,FALSE)</f>
        <v>300</v>
      </c>
      <c r="H48">
        <f>SQRT(5*((Constants!$B$3/Climb!E48*((1+0.2*(Climb!G48/661.5)^2)^3.5-1)+1)^0.286-1))</f>
        <v>0.79773444333470422</v>
      </c>
      <c r="I48">
        <f t="shared" si="32"/>
        <v>235.3925781772663</v>
      </c>
      <c r="J48">
        <f>I48/Constants!$B$9</f>
        <v>457.56696195750419</v>
      </c>
      <c r="K48">
        <f>2*B48*Constants!$B$7/(Climb!E48*Climb!$B$2*Climb!I48^2)</f>
        <v>0.4088155372933634</v>
      </c>
      <c r="L48" s="5">
        <v>2.0400000000000001E-2</v>
      </c>
      <c r="M48">
        <f t="shared" si="33"/>
        <v>2.8810671119600707E-2</v>
      </c>
      <c r="N48">
        <f>0.5*E48*Climb!I48^2*Climb!$B$2*Climb!M48</f>
        <v>240634.93512227977</v>
      </c>
      <c r="O48" s="2">
        <f>($B$9-$B$10*H48)*(E48/Constants!$B$3)^$B$11</f>
        <v>60568.861137873602</v>
      </c>
      <c r="P48" s="2">
        <f t="shared" si="34"/>
        <v>242275.44455149441</v>
      </c>
      <c r="Q48" s="2">
        <f>(P48-N48)*I48/B48/Constants!$B$7</f>
        <v>0.11309380093809894</v>
      </c>
      <c r="R48" s="2">
        <f t="shared" si="35"/>
        <v>4.8044762568443184E-4</v>
      </c>
      <c r="S48" s="2">
        <f>P48*$B$1*$B$12/Constants!$B$7</f>
        <v>237.08912005039207</v>
      </c>
      <c r="T48" s="10">
        <f t="shared" si="36"/>
        <v>14123.553060566503</v>
      </c>
      <c r="U48" s="12">
        <f t="shared" si="37"/>
        <v>347830.58306682034</v>
      </c>
      <c r="V48" s="10">
        <f t="shared" si="38"/>
        <v>416112.07275611541</v>
      </c>
      <c r="W48" s="7">
        <f t="shared" si="39"/>
        <v>11132.167145541294</v>
      </c>
      <c r="X48">
        <f t="shared" si="0"/>
        <v>1980</v>
      </c>
      <c r="Y48" s="10">
        <f t="shared" si="1"/>
        <v>28230.583066820342</v>
      </c>
    </row>
    <row r="49" spans="1:25" x14ac:dyDescent="0.2">
      <c r="A49" s="7">
        <f t="shared" si="30"/>
        <v>11132.167145541294</v>
      </c>
      <c r="B49" s="10">
        <f t="shared" si="31"/>
        <v>347830.58306682034</v>
      </c>
      <c r="C49">
        <f>IF(A49&lt;=11000,A49*Constants!$B$2+Constants!$B$1,216.7)</f>
        <v>216.7</v>
      </c>
      <c r="D49">
        <f>IF(A49&lt;=11000, Constants!$B$4*(1-0.0065*Climb!A49/Constants!$B$1)^5.2561, 22632*EXP(9.81*(11000-A49)/Constants!$B$6/C49))</f>
        <v>22165.065938715379</v>
      </c>
      <c r="E49">
        <f>D49/(Constants!$B$6*Climb!C49)</f>
        <v>0.35639222385055819</v>
      </c>
      <c r="F49">
        <f>SQRT(Constants!$B$8*Constants!$B$6*Climb!C49)</f>
        <v>295.07636299778397</v>
      </c>
      <c r="G49" s="5">
        <f>VLOOKUP(TRUNC(A49/1000),Flight!$A$3:$C$17,3,FALSE)</f>
        <v>300</v>
      </c>
      <c r="H49">
        <f>SQRT(5*((Constants!$B$3/Climb!E49*((1+0.2*(Climb!G49/661.5)^2)^3.5-1)+1)^0.286-1))</f>
        <v>0.79810459999132133</v>
      </c>
      <c r="I49">
        <f t="shared" si="32"/>
        <v>235.50180265724032</v>
      </c>
      <c r="J49">
        <f>I49/Constants!$B$9</f>
        <v>457.77927754476741</v>
      </c>
      <c r="K49">
        <f>2*B49*Constants!$B$7/(Climb!E49*Climb!$B$2*Climb!I49^2)</f>
        <v>0.40859530092536445</v>
      </c>
      <c r="L49" s="5">
        <v>2.0400000000000001E-2</v>
      </c>
      <c r="M49">
        <f t="shared" si="33"/>
        <v>2.8801611597408308E-2</v>
      </c>
      <c r="N49">
        <f>0.5*E49*Climb!I49^2*Climb!$B$2*Climb!M49</f>
        <v>240524.98369865434</v>
      </c>
      <c r="O49" s="2">
        <f>($B$9-$B$10*H49)*(E49/Constants!$B$3)^$B$11</f>
        <v>60486.794694217009</v>
      </c>
      <c r="P49" s="2">
        <f t="shared" si="34"/>
        <v>241947.17877686804</v>
      </c>
      <c r="Q49" s="2">
        <f>(P49-N49)*I49/B49/Constants!$B$7</f>
        <v>9.8155950967288755E-2</v>
      </c>
      <c r="R49" s="2">
        <f t="shared" si="35"/>
        <v>4.1679491495043275E-4</v>
      </c>
      <c r="S49" s="2">
        <f>P49*$B$1*$B$12/Constants!$B$7</f>
        <v>236.76788137185861</v>
      </c>
      <c r="T49" s="10">
        <f t="shared" si="36"/>
        <v>14130.106932107365</v>
      </c>
      <c r="U49" s="12">
        <f t="shared" si="37"/>
        <v>347593.8151854485</v>
      </c>
      <c r="V49" s="10">
        <f t="shared" si="38"/>
        <v>430242.17968822276</v>
      </c>
      <c r="W49" s="7">
        <f t="shared" si="39"/>
        <v>11138.056502599331</v>
      </c>
      <c r="X49">
        <f t="shared" si="0"/>
        <v>2040</v>
      </c>
      <c r="Y49" s="10">
        <f t="shared" si="1"/>
        <v>27993.815185448504</v>
      </c>
    </row>
    <row r="50" spans="1:25" x14ac:dyDescent="0.2">
      <c r="A50" s="7">
        <f t="shared" si="30"/>
        <v>11138.056502599331</v>
      </c>
      <c r="B50" s="10">
        <f t="shared" si="31"/>
        <v>347593.8151854485</v>
      </c>
      <c r="C50">
        <f>IF(A50&lt;=11000,A50*Constants!$B$2+Constants!$B$1,216.7)</f>
        <v>216.7</v>
      </c>
      <c r="D50">
        <f>IF(A50&lt;=11000, Constants!$B$4*(1-0.0065*Climb!A50/Constants!$B$1)^5.2561, 22632*EXP(9.81*(11000-A50)/Constants!$B$6/C50))</f>
        <v>22144.485083981937</v>
      </c>
      <c r="E50">
        <f>D50/(Constants!$B$6*Climb!C50)</f>
        <v>0.3560613041678703</v>
      </c>
      <c r="F50">
        <f>SQRT(Constants!$B$8*Constants!$B$6*Climb!C50)</f>
        <v>295.07636299778397</v>
      </c>
      <c r="G50" s="5">
        <f>VLOOKUP(TRUNC(A50/1000),Flight!$A$3:$C$17,3,FALSE)</f>
        <v>300</v>
      </c>
      <c r="H50">
        <f>SQRT(5*((Constants!$B$3/Climb!E50*((1+0.2*(Climb!G50/661.5)^2)^3.5-1)+1)^0.286-1))</f>
        <v>0.79842596843523927</v>
      </c>
      <c r="I50">
        <f t="shared" si="32"/>
        <v>235.59663088885387</v>
      </c>
      <c r="J50">
        <f>I50/Constants!$B$9</f>
        <v>457.96360903976694</v>
      </c>
      <c r="K50">
        <f>2*B50*Constants!$B$7/(Climb!E50*Climb!$B$2*Climb!I50^2)</f>
        <v>0.40836771967765773</v>
      </c>
      <c r="L50" s="5">
        <v>2.0400000000000001E-2</v>
      </c>
      <c r="M50">
        <f t="shared" si="33"/>
        <v>2.8792255069054397E-2</v>
      </c>
      <c r="N50">
        <f>0.5*E50*Climb!I50^2*Climb!$B$2*Climb!M50</f>
        <v>240417.08313862782</v>
      </c>
      <c r="O50" s="2">
        <f>($B$9-$B$10*H50)*(E50/Constants!$B$3)^$B$11</f>
        <v>60415.647203436536</v>
      </c>
      <c r="P50" s="2">
        <f t="shared" si="34"/>
        <v>241662.58881374614</v>
      </c>
      <c r="Q50" s="2">
        <f>(P50-N50)*I50/B50/Constants!$B$7</f>
        <v>8.60545303223825E-2</v>
      </c>
      <c r="R50" s="2">
        <f t="shared" si="35"/>
        <v>3.6526215129321969E-4</v>
      </c>
      <c r="S50" s="2">
        <f>P50*$B$1*$B$12/Constants!$B$7</f>
        <v>236.48938354862008</v>
      </c>
      <c r="T50" s="10">
        <f t="shared" si="36"/>
        <v>14135.796910357334</v>
      </c>
      <c r="U50" s="12">
        <f t="shared" si="37"/>
        <v>347357.32580189989</v>
      </c>
      <c r="V50" s="10">
        <f t="shared" si="38"/>
        <v>444377.97659858008</v>
      </c>
      <c r="W50" s="7">
        <f t="shared" si="39"/>
        <v>11143.219774418674</v>
      </c>
      <c r="X50">
        <f t="shared" si="0"/>
        <v>2100</v>
      </c>
      <c r="Y50" s="10">
        <f t="shared" si="1"/>
        <v>27757.325801899889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"/>
  <sheetViews>
    <sheetView topLeftCell="A9" workbookViewId="0">
      <selection activeCell="Y15" sqref="Y15:Y18"/>
    </sheetView>
  </sheetViews>
  <sheetFormatPr baseColWidth="10" defaultColWidth="8.83203125" defaultRowHeight="15" x14ac:dyDescent="0.2"/>
  <cols>
    <col min="1" max="1" width="14" customWidth="1"/>
    <col min="2" max="2" width="11.33203125" customWidth="1"/>
    <col min="3" max="3" width="11.5" customWidth="1"/>
    <col min="4" max="4" width="11.83203125" customWidth="1"/>
    <col min="5" max="5" width="11.33203125" customWidth="1"/>
    <col min="6" max="6" width="13.5" customWidth="1"/>
    <col min="7" max="7" width="6.83203125" customWidth="1"/>
    <col min="8" max="10" width="13.5" customWidth="1"/>
    <col min="11" max="11" width="11.6640625" customWidth="1"/>
    <col min="12" max="12" width="10.83203125" customWidth="1"/>
    <col min="13" max="13" width="12.5" customWidth="1"/>
    <col min="16" max="16" width="10.5" customWidth="1"/>
    <col min="17" max="17" width="9" customWidth="1"/>
    <col min="18" max="18" width="12" customWidth="1"/>
    <col min="19" max="19" width="9.33203125" customWidth="1"/>
    <col min="20" max="20" width="10.1640625" customWidth="1"/>
    <col min="21" max="21" width="11.5" customWidth="1"/>
    <col min="22" max="22" width="17.5" customWidth="1"/>
    <col min="23" max="23" width="16.83203125" customWidth="1"/>
    <col min="25" max="25" width="12.6640625" bestFit="1" customWidth="1"/>
  </cols>
  <sheetData>
    <row r="1" spans="1:25" x14ac:dyDescent="0.2">
      <c r="A1" t="s">
        <v>63</v>
      </c>
      <c r="B1">
        <v>120</v>
      </c>
      <c r="C1" t="s">
        <v>64</v>
      </c>
    </row>
    <row r="2" spans="1:25" x14ac:dyDescent="0.2">
      <c r="A2" t="s">
        <v>2</v>
      </c>
      <c r="B2">
        <v>858</v>
      </c>
      <c r="C2" s="1" t="s">
        <v>19</v>
      </c>
    </row>
    <row r="3" spans="1:25" x14ac:dyDescent="0.2">
      <c r="A3" t="s">
        <v>5</v>
      </c>
      <c r="B3">
        <v>9</v>
      </c>
    </row>
    <row r="4" spans="1:25" x14ac:dyDescent="0.2">
      <c r="A4" t="s">
        <v>26</v>
      </c>
      <c r="B4">
        <v>0.84</v>
      </c>
    </row>
    <row r="5" spans="1:25" x14ac:dyDescent="0.2">
      <c r="A5" t="s">
        <v>20</v>
      </c>
      <c r="B5" s="2">
        <v>276800</v>
      </c>
      <c r="C5" t="s">
        <v>21</v>
      </c>
    </row>
    <row r="6" spans="1:25" x14ac:dyDescent="0.2">
      <c r="A6" t="s">
        <v>22</v>
      </c>
      <c r="B6">
        <v>42800</v>
      </c>
      <c r="C6" t="s">
        <v>25</v>
      </c>
    </row>
    <row r="7" spans="1:25" x14ac:dyDescent="0.2">
      <c r="A7" t="s">
        <v>23</v>
      </c>
      <c r="B7">
        <v>42475</v>
      </c>
      <c r="C7" t="s">
        <v>24</v>
      </c>
      <c r="D7" t="s">
        <v>23</v>
      </c>
      <c r="E7">
        <f>B7*0.804</f>
        <v>34149.9</v>
      </c>
      <c r="F7" t="s">
        <v>21</v>
      </c>
      <c r="H7" t="s">
        <v>23</v>
      </c>
      <c r="I7">
        <v>34150</v>
      </c>
      <c r="J7" t="s">
        <v>21</v>
      </c>
      <c r="K7" s="1" t="s">
        <v>85</v>
      </c>
      <c r="L7" t="s">
        <v>23</v>
      </c>
      <c r="M7">
        <f>I7/0.804</f>
        <v>42475.124378109453</v>
      </c>
      <c r="N7" t="s">
        <v>24</v>
      </c>
    </row>
    <row r="8" spans="1:25" x14ac:dyDescent="0.2">
      <c r="A8" t="s">
        <v>7</v>
      </c>
      <c r="B8">
        <v>0</v>
      </c>
      <c r="C8">
        <v>0.9</v>
      </c>
      <c r="D8" t="s">
        <v>18</v>
      </c>
    </row>
    <row r="9" spans="1:25" x14ac:dyDescent="0.2">
      <c r="B9" s="2">
        <v>338000</v>
      </c>
      <c r="C9" s="2">
        <v>180000</v>
      </c>
      <c r="D9" t="s">
        <v>17</v>
      </c>
    </row>
    <row r="10" spans="1:25" x14ac:dyDescent="0.2">
      <c r="A10" t="s">
        <v>60</v>
      </c>
      <c r="B10" s="2">
        <f>(B9-C9)/C8</f>
        <v>175555.55555555556</v>
      </c>
      <c r="C10" s="2"/>
    </row>
    <row r="11" spans="1:25" x14ac:dyDescent="0.2">
      <c r="A11" t="s">
        <v>59</v>
      </c>
      <c r="B11" s="2">
        <v>0.96</v>
      </c>
      <c r="C11" s="2"/>
    </row>
    <row r="12" spans="1:25" x14ac:dyDescent="0.2">
      <c r="A12" t="s">
        <v>15</v>
      </c>
      <c r="B12" s="2">
        <v>1.6000000000000001E-4</v>
      </c>
      <c r="C12" t="s">
        <v>65</v>
      </c>
    </row>
    <row r="13" spans="1:25" x14ac:dyDescent="0.2">
      <c r="A13" t="s">
        <v>61</v>
      </c>
      <c r="B13">
        <v>4</v>
      </c>
    </row>
    <row r="15" spans="1:25" x14ac:dyDescent="0.2">
      <c r="A15" t="s">
        <v>1</v>
      </c>
      <c r="B15" t="s">
        <v>0</v>
      </c>
      <c r="C15" t="s">
        <v>47</v>
      </c>
      <c r="D15" t="s">
        <v>51</v>
      </c>
      <c r="E15" t="s">
        <v>13</v>
      </c>
      <c r="F15" t="s">
        <v>14</v>
      </c>
      <c r="G15" t="s">
        <v>55</v>
      </c>
      <c r="H15" t="s">
        <v>54</v>
      </c>
      <c r="I15" t="s">
        <v>57</v>
      </c>
      <c r="J15" t="s">
        <v>58</v>
      </c>
      <c r="K15" t="s">
        <v>4</v>
      </c>
      <c r="L15" t="s">
        <v>27</v>
      </c>
      <c r="M15" t="s">
        <v>3</v>
      </c>
      <c r="N15" t="s">
        <v>6</v>
      </c>
      <c r="O15" t="s">
        <v>7</v>
      </c>
      <c r="P15" t="s">
        <v>62</v>
      </c>
      <c r="Q15" s="1" t="s">
        <v>8</v>
      </c>
      <c r="R15" s="1" t="s">
        <v>66</v>
      </c>
      <c r="S15" t="s">
        <v>9</v>
      </c>
      <c r="T15" t="s">
        <v>10</v>
      </c>
      <c r="U15" t="s">
        <v>11</v>
      </c>
      <c r="V15" t="s">
        <v>12</v>
      </c>
      <c r="W15" t="s">
        <v>28</v>
      </c>
      <c r="X15" t="s">
        <v>67</v>
      </c>
      <c r="Y15" t="s">
        <v>84</v>
      </c>
    </row>
    <row r="16" spans="1:25" x14ac:dyDescent="0.2">
      <c r="A16" s="5">
        <v>9249</v>
      </c>
      <c r="B16" s="10">
        <f>B5+B6+E7</f>
        <v>353749.9</v>
      </c>
      <c r="C16">
        <f>IF(A16&lt;=11000,A16*Constants!$B$2+Constants!$B$1,216.7)</f>
        <v>228.08150000000001</v>
      </c>
      <c r="D16">
        <f>IF(A16&lt;=11000, Constants!$B$4*(1-0.0065*A16/Constants!$B$1)^5.2561, 22632*EXP(9.81*(11000-A16)/Constants!$B$6/C16))</f>
        <v>29626.22177852504</v>
      </c>
      <c r="E16">
        <f>D16/(Constants!$B$6*Cruise!C16)</f>
        <v>0.45258933137370166</v>
      </c>
      <c r="F16">
        <f>SQRT(Constants!$B$8*Constants!$B$6*Cruise!C16)</f>
        <v>302.7261909713132</v>
      </c>
      <c r="G16" s="5">
        <v>290</v>
      </c>
      <c r="H16">
        <f>SQRT(5*((Constants!$B$3/Cruise!E16*((1+0.2*(Cruise!G16/661.5)^2)^3.5-1)+1)^0.286-1))</f>
        <v>0.69620327326485065</v>
      </c>
      <c r="I16">
        <f>H16*F16</f>
        <v>210.75896505722852</v>
      </c>
      <c r="J16">
        <f>I16/Constants!$B$9</f>
        <v>409.68300739677886</v>
      </c>
      <c r="K16">
        <f>2*B16*Constants!$B$7/(Cruise!E16*Cruise!$B$2*Cruise!I16^2)</f>
        <v>0.40237557845041616</v>
      </c>
      <c r="L16" s="5">
        <v>0.02</v>
      </c>
      <c r="M16">
        <f>K16^2/(PI()*$B$3*$B$4)+L16</f>
        <v>2.68169727798616E-2</v>
      </c>
      <c r="N16">
        <f>0.5*E16*Cruise!I16^2*Cruise!$B$2*Cruise!M16</f>
        <v>231282.87128343096</v>
      </c>
      <c r="O16" s="2">
        <f>P16/$B$13</f>
        <v>57820.717820857739</v>
      </c>
      <c r="P16" s="2">
        <f>N16</f>
        <v>231282.87128343096</v>
      </c>
      <c r="Q16" s="2">
        <f>(P16-N16)*I16/B16/Constants!$B$7</f>
        <v>0</v>
      </c>
      <c r="R16" s="2">
        <f>ASIN(Q16/I16)</f>
        <v>0</v>
      </c>
      <c r="S16" s="2">
        <f>P16*$B$1*$B$12/Constants!$B$7</f>
        <v>452.66372361283129</v>
      </c>
      <c r="T16" s="10">
        <f>I16*COS(R16)*$B$1</f>
        <v>25291.075806867422</v>
      </c>
      <c r="U16" s="10">
        <f>B16-S16</f>
        <v>353297.23627638718</v>
      </c>
      <c r="V16" s="10">
        <f>T16</f>
        <v>25291.075806867422</v>
      </c>
      <c r="W16" s="7">
        <f>A16+Q16*$B$1</f>
        <v>9249</v>
      </c>
      <c r="X16">
        <f>$B$1</f>
        <v>120</v>
      </c>
      <c r="Y16" s="10">
        <f>$E$7-B16+U16</f>
        <v>33697.236276387179</v>
      </c>
    </row>
    <row r="17" spans="1:25" x14ac:dyDescent="0.2">
      <c r="A17" s="7">
        <f>W16</f>
        <v>9249</v>
      </c>
      <c r="B17" s="10">
        <f>U16</f>
        <v>353297.23627638718</v>
      </c>
      <c r="C17">
        <f>IF(A17&lt;=11000,A17*Constants!$B$2+Constants!$B$1,216.7)</f>
        <v>228.08150000000001</v>
      </c>
      <c r="D17">
        <f>IF(A17&lt;=11000, Constants!$B$4*(1-0.0065*A17/Constants!$B$1)^5.2561, 22632*EXP(9.81*(11000-A17)/Constants!$B$6/C17))</f>
        <v>29626.22177852504</v>
      </c>
      <c r="E17">
        <f>D17/(Constants!$B$6*Cruise!C17)</f>
        <v>0.45258933137370166</v>
      </c>
      <c r="F17">
        <f>SQRT(Constants!$B$8*Constants!$B$6*Cruise!C17)</f>
        <v>302.7261909713132</v>
      </c>
      <c r="G17" s="5">
        <v>290</v>
      </c>
      <c r="H17">
        <f>SQRT(5*((Constants!$B$3/Cruise!E17*((1+0.2*(Cruise!G17/661.5)^2)^3.5-1)+1)^0.286-1))</f>
        <v>0.69620327326485065</v>
      </c>
      <c r="I17">
        <f>H17*F17</f>
        <v>210.75896505722852</v>
      </c>
      <c r="J17">
        <f>I17/Constants!$B$9</f>
        <v>409.68300739677886</v>
      </c>
      <c r="K17">
        <f>2*B17*Constants!$B$7/(Cruise!E17*Cruise!$B$2*Cruise!I17^2)</f>
        <v>0.4018606925730428</v>
      </c>
      <c r="L17" s="5">
        <v>0.02</v>
      </c>
      <c r="M17">
        <f>K17^2/(PI()*$B$3*$B$4)+L17</f>
        <v>2.679953773907998E-2</v>
      </c>
      <c r="N17">
        <f>0.5*E17*Cruise!I17^2*Cruise!$B$2*Cruise!M17</f>
        <v>231132.5028460231</v>
      </c>
      <c r="O17" s="2">
        <f t="shared" ref="O17:O45" si="0">P17/$B$13</f>
        <v>57783.125711505774</v>
      </c>
      <c r="P17" s="2">
        <f t="shared" ref="P17:P45" si="1">N17</f>
        <v>231132.5028460231</v>
      </c>
      <c r="Q17" s="2">
        <f>(P17-N17)*I17/B17/Constants!$B$7</f>
        <v>0</v>
      </c>
      <c r="R17" s="2">
        <f>ASIN(Q17/I17)</f>
        <v>0</v>
      </c>
      <c r="S17" s="2">
        <f>P17*$B$1*$B$12/Constants!$B$7</f>
        <v>452.36942453044276</v>
      </c>
      <c r="T17" s="10">
        <f>I17*COS(R17)*$B$1</f>
        <v>25291.075806867422</v>
      </c>
      <c r="U17" s="10">
        <f>B17-S17</f>
        <v>352844.86685185676</v>
      </c>
      <c r="V17" s="10">
        <f>V16+T17</f>
        <v>50582.151613734844</v>
      </c>
      <c r="W17" s="7">
        <f>A17+Q17*$B$1</f>
        <v>9249</v>
      </c>
      <c r="X17">
        <f>X16+$B$1</f>
        <v>240</v>
      </c>
      <c r="Y17" s="10">
        <f>Y16-B17+U17</f>
        <v>33244.866851856757</v>
      </c>
    </row>
    <row r="18" spans="1:25" x14ac:dyDescent="0.2">
      <c r="A18" s="7">
        <f>W17</f>
        <v>9249</v>
      </c>
      <c r="B18" s="10">
        <f>U17</f>
        <v>352844.86685185676</v>
      </c>
      <c r="C18">
        <f>IF(A18&lt;=11000,A18*Constants!$B$2+Constants!$B$1,216.7)</f>
        <v>228.08150000000001</v>
      </c>
      <c r="D18">
        <f>IF(A18&lt;=11000, Constants!$B$4*(1-0.0065*A18/Constants!$B$1)^5.2561, 22632*EXP(9.81*(11000-A18)/Constants!$B$6/C18))</f>
        <v>29626.22177852504</v>
      </c>
      <c r="E18">
        <f>D18/(Constants!$B$6*Cruise!C18)</f>
        <v>0.45258933137370166</v>
      </c>
      <c r="F18">
        <f>SQRT(Constants!$B$8*Constants!$B$6*Cruise!C18)</f>
        <v>302.7261909713132</v>
      </c>
      <c r="G18" s="5">
        <v>290</v>
      </c>
      <c r="H18">
        <f>SQRT(5*((Constants!$B$3/Cruise!E18*((1+0.2*(Cruise!G18/661.5)^2)^3.5-1)+1)^0.286-1))</f>
        <v>0.69620327326485065</v>
      </c>
      <c r="I18">
        <f>H18*F18</f>
        <v>210.75896505722852</v>
      </c>
      <c r="J18">
        <f>I18/Constants!$B$9</f>
        <v>409.68300739677886</v>
      </c>
      <c r="K18">
        <f>2*B18*Constants!$B$7/(Cruise!E18*Cruise!$B$2*Cruise!I18^2)</f>
        <v>0.40134614144845249</v>
      </c>
      <c r="L18" s="5">
        <v>0.02</v>
      </c>
      <c r="M18">
        <f>K18^2/(PI()*$B$3*$B$4)+L18</f>
        <v>2.6782136336339656E-2</v>
      </c>
      <c r="N18">
        <f>0.5*E18*Cruise!I18^2*Cruise!$B$2*Cruise!M18</f>
        <v>230982.42451976385</v>
      </c>
      <c r="O18" s="2">
        <f t="shared" si="0"/>
        <v>57745.606129940963</v>
      </c>
      <c r="P18" s="2">
        <f t="shared" si="1"/>
        <v>230982.42451976385</v>
      </c>
      <c r="Q18" s="2">
        <f>(P18-N18)*I18/B18/Constants!$B$7</f>
        <v>0</v>
      </c>
      <c r="R18" s="2">
        <f>ASIN(Q18/I18)</f>
        <v>0</v>
      </c>
      <c r="S18" s="2">
        <f>P18*$B$1*$B$12/Constants!$B$7</f>
        <v>452.0756932496908</v>
      </c>
      <c r="T18" s="10">
        <f>I18*COS(R18)*$B$1</f>
        <v>25291.075806867422</v>
      </c>
      <c r="U18" s="10">
        <f>B18-S18</f>
        <v>352392.79115860705</v>
      </c>
      <c r="V18" s="10">
        <f>V17+T18</f>
        <v>75873.22742060227</v>
      </c>
      <c r="W18" s="7">
        <f>A18+Q18*$B$1</f>
        <v>9249</v>
      </c>
      <c r="X18">
        <f t="shared" ref="X18:X45" si="2">X17+$B$1</f>
        <v>360</v>
      </c>
      <c r="Y18" s="10">
        <f t="shared" ref="Y18:Y45" si="3">Y17-B18+U18</f>
        <v>32792.791158607055</v>
      </c>
    </row>
    <row r="19" spans="1:25" x14ac:dyDescent="0.2">
      <c r="A19" s="7">
        <f t="shared" ref="A19:A45" si="4">W18</f>
        <v>9249</v>
      </c>
      <c r="B19" s="10">
        <f t="shared" ref="B19:B45" si="5">U18</f>
        <v>352392.79115860705</v>
      </c>
      <c r="C19">
        <f>IF(A19&lt;=11000,A19*Constants!$B$2+Constants!$B$1,216.7)</f>
        <v>228.08150000000001</v>
      </c>
      <c r="D19">
        <f>IF(A19&lt;=11000, Constants!$B$4*(1-0.0065*A19/Constants!$B$1)^5.2561, 22632*EXP(9.81*(11000-A19)/Constants!$B$6/C19))</f>
        <v>29626.22177852504</v>
      </c>
      <c r="E19">
        <f>D19/(Constants!$B$6*Cruise!C19)</f>
        <v>0.45258933137370166</v>
      </c>
      <c r="F19">
        <f>SQRT(Constants!$B$8*Constants!$B$6*Cruise!C19)</f>
        <v>302.7261909713132</v>
      </c>
      <c r="G19" s="5">
        <v>290</v>
      </c>
      <c r="H19">
        <f>SQRT(5*((Constants!$B$3/Cruise!E19*((1+0.2*(Cruise!G19/661.5)^2)^3.5-1)+1)^0.286-1))</f>
        <v>0.69620327326485065</v>
      </c>
      <c r="I19">
        <f t="shared" ref="I19:I45" si="6">H19*F19</f>
        <v>210.75896505722852</v>
      </c>
      <c r="J19">
        <f>I19/Constants!$B$9</f>
        <v>409.68300739677886</v>
      </c>
      <c r="K19">
        <f>2*B19*Constants!$B$7/(Cruise!E19*Cruise!$B$2*Cruise!I19^2)</f>
        <v>0.40083192443079474</v>
      </c>
      <c r="L19" s="5">
        <v>0.02</v>
      </c>
      <c r="M19">
        <f t="shared" ref="M19:M45" si="7">K19^2/(PI()*$B$3*$B$4)+L19</f>
        <v>2.6764768506326489E-2</v>
      </c>
      <c r="N19">
        <f>0.5*E19*Cruise!I19^2*Cruise!$B$2*Cruise!M19</f>
        <v>230832.6357413517</v>
      </c>
      <c r="O19" s="2">
        <f t="shared" si="0"/>
        <v>57708.158935337924</v>
      </c>
      <c r="P19" s="2">
        <f t="shared" si="1"/>
        <v>230832.6357413517</v>
      </c>
      <c r="Q19" s="2">
        <f>(P19-N19)*I19/B19/Constants!$B$7</f>
        <v>0</v>
      </c>
      <c r="R19" s="2">
        <f t="shared" ref="R19:R45" si="8">ASIN(Q19/I19)</f>
        <v>0</v>
      </c>
      <c r="S19" s="2">
        <f>P19*$B$1*$B$12/Constants!$B$7</f>
        <v>451.78252866808901</v>
      </c>
      <c r="T19" s="10">
        <f t="shared" ref="T19:T45" si="9">I19*COS(R19)*$B$1</f>
        <v>25291.075806867422</v>
      </c>
      <c r="U19" s="10">
        <f t="shared" ref="U19:U45" si="10">B19-S19</f>
        <v>351941.00862993899</v>
      </c>
      <c r="V19" s="10">
        <f t="shared" ref="V19:V45" si="11">V18+T19</f>
        <v>101164.30322746969</v>
      </c>
      <c r="W19" s="7">
        <f t="shared" ref="W19:W45" si="12">A19+Q19*$B$1</f>
        <v>9249</v>
      </c>
      <c r="X19">
        <f t="shared" si="2"/>
        <v>480</v>
      </c>
      <c r="Y19" s="10">
        <f t="shared" si="3"/>
        <v>32341.008629938995</v>
      </c>
    </row>
    <row r="20" spans="1:25" x14ac:dyDescent="0.2">
      <c r="A20" s="7">
        <f t="shared" si="4"/>
        <v>9249</v>
      </c>
      <c r="B20" s="10">
        <f t="shared" si="5"/>
        <v>351941.00862993899</v>
      </c>
      <c r="C20">
        <f>IF(A20&lt;=11000,A20*Constants!$B$2+Constants!$B$1,216.7)</f>
        <v>228.08150000000001</v>
      </c>
      <c r="D20">
        <f>IF(A20&lt;=11000, Constants!$B$4*(1-0.0065*A20/Constants!$B$1)^5.2561, 22632*EXP(9.81*(11000-A20)/Constants!$B$6/C20))</f>
        <v>29626.22177852504</v>
      </c>
      <c r="E20">
        <f>D20/(Constants!$B$6*Cruise!C20)</f>
        <v>0.45258933137370166</v>
      </c>
      <c r="F20">
        <f>SQRT(Constants!$B$8*Constants!$B$6*Cruise!C20)</f>
        <v>302.7261909713132</v>
      </c>
      <c r="G20" s="5">
        <v>290</v>
      </c>
      <c r="H20">
        <f>SQRT(5*((Constants!$B$3/Cruise!E20*((1+0.2*(Cruise!G20/661.5)^2)^3.5-1)+1)^0.286-1))</f>
        <v>0.69620327326485065</v>
      </c>
      <c r="I20">
        <f t="shared" si="6"/>
        <v>210.75896505722852</v>
      </c>
      <c r="J20">
        <f>I20/Constants!$B$9</f>
        <v>409.68300739677886</v>
      </c>
      <c r="K20">
        <f>2*B20*Constants!$B$7/(Cruise!E20*Cruise!$B$2*Cruise!I20^2)</f>
        <v>0.40031804087547329</v>
      </c>
      <c r="L20" s="5">
        <v>0.02</v>
      </c>
      <c r="M20">
        <f t="shared" si="7"/>
        <v>2.6747434183908726E-2</v>
      </c>
      <c r="N20">
        <f>0.5*E20*Cruise!I20^2*Cruise!$B$2*Cruise!M20</f>
        <v>230683.13594905808</v>
      </c>
      <c r="O20" s="2">
        <f t="shared" si="0"/>
        <v>57670.78398726452</v>
      </c>
      <c r="P20" s="2">
        <f t="shared" si="1"/>
        <v>230683.13594905808</v>
      </c>
      <c r="Q20" s="2">
        <f>(P20-N20)*I20/B20/Constants!$B$7</f>
        <v>0</v>
      </c>
      <c r="R20" s="2">
        <f t="shared" si="8"/>
        <v>0</v>
      </c>
      <c r="S20" s="2">
        <f>P20*$B$1*$B$12/Constants!$B$7</f>
        <v>451.48992968622991</v>
      </c>
      <c r="T20" s="10">
        <f t="shared" si="9"/>
        <v>25291.075806867422</v>
      </c>
      <c r="U20" s="10">
        <f t="shared" si="10"/>
        <v>351489.51870025275</v>
      </c>
      <c r="V20" s="10">
        <f t="shared" si="11"/>
        <v>126455.37903433711</v>
      </c>
      <c r="W20" s="7">
        <f t="shared" si="12"/>
        <v>9249</v>
      </c>
      <c r="X20">
        <f t="shared" si="2"/>
        <v>600</v>
      </c>
      <c r="Y20" s="10">
        <f t="shared" si="3"/>
        <v>31889.518700252753</v>
      </c>
    </row>
    <row r="21" spans="1:25" x14ac:dyDescent="0.2">
      <c r="A21" s="7">
        <f t="shared" si="4"/>
        <v>9249</v>
      </c>
      <c r="B21" s="10">
        <f t="shared" si="5"/>
        <v>351489.51870025275</v>
      </c>
      <c r="C21">
        <f>IF(A21&lt;=11000,A21*Constants!$B$2+Constants!$B$1,216.7)</f>
        <v>228.08150000000001</v>
      </c>
      <c r="D21">
        <f>IF(A21&lt;=11000, Constants!$B$4*(1-0.0065*A21/Constants!$B$1)^5.2561, 22632*EXP(9.81*(11000-A21)/Constants!$B$6/C21))</f>
        <v>29626.22177852504</v>
      </c>
      <c r="E21">
        <f>D21/(Constants!$B$6*Cruise!C21)</f>
        <v>0.45258933137370166</v>
      </c>
      <c r="F21">
        <f>SQRT(Constants!$B$8*Constants!$B$6*Cruise!C21)</f>
        <v>302.7261909713132</v>
      </c>
      <c r="G21" s="5">
        <v>290</v>
      </c>
      <c r="H21">
        <f>SQRT(5*((Constants!$B$3/Cruise!E21*((1+0.2*(Cruise!G21/661.5)^2)^3.5-1)+1)^0.286-1))</f>
        <v>0.69620327326485065</v>
      </c>
      <c r="I21">
        <f t="shared" si="6"/>
        <v>210.75896505722852</v>
      </c>
      <c r="J21">
        <f>I21/Constants!$B$9</f>
        <v>409.68300739677886</v>
      </c>
      <c r="K21">
        <f>2*B21*Constants!$B$7/(Cruise!E21*Cruise!$B$2*Cruise!I21^2)</f>
        <v>0.39980449013914227</v>
      </c>
      <c r="L21" s="5">
        <v>0.02</v>
      </c>
      <c r="M21">
        <f t="shared" si="7"/>
        <v>2.6730133304136414E-2</v>
      </c>
      <c r="N21">
        <f>0.5*E21*Cruise!I21^2*Cruise!$B$2*Cruise!M21</f>
        <v>230533.92458272239</v>
      </c>
      <c r="O21" s="2">
        <f t="shared" si="0"/>
        <v>57633.481145680598</v>
      </c>
      <c r="P21" s="2">
        <f t="shared" si="1"/>
        <v>230533.92458272239</v>
      </c>
      <c r="Q21" s="2">
        <f>(P21-N21)*I21/B21/Constants!$B$7</f>
        <v>0</v>
      </c>
      <c r="R21" s="2">
        <f t="shared" si="8"/>
        <v>0</v>
      </c>
      <c r="S21" s="2">
        <f>P21*$B$1*$B$12/Constants!$B$7</f>
        <v>451.19789520777476</v>
      </c>
      <c r="T21" s="10">
        <f t="shared" si="9"/>
        <v>25291.075806867422</v>
      </c>
      <c r="U21" s="10">
        <f t="shared" si="10"/>
        <v>351038.32080504496</v>
      </c>
      <c r="V21" s="10">
        <f t="shared" si="11"/>
        <v>151746.45484120454</v>
      </c>
      <c r="W21" s="7">
        <f t="shared" si="12"/>
        <v>9249</v>
      </c>
      <c r="X21">
        <f t="shared" si="2"/>
        <v>720</v>
      </c>
      <c r="Y21" s="10">
        <f t="shared" si="3"/>
        <v>31438.320805044961</v>
      </c>
    </row>
    <row r="22" spans="1:25" x14ac:dyDescent="0.2">
      <c r="A22" s="7">
        <f t="shared" si="4"/>
        <v>9249</v>
      </c>
      <c r="B22" s="10">
        <f t="shared" si="5"/>
        <v>351038.32080504496</v>
      </c>
      <c r="C22">
        <f>IF(A22&lt;=11000,A22*Constants!$B$2+Constants!$B$1,216.7)</f>
        <v>228.08150000000001</v>
      </c>
      <c r="D22">
        <f>IF(A22&lt;=11000, Constants!$B$4*(1-0.0065*A22/Constants!$B$1)^5.2561, 22632*EXP(9.81*(11000-A22)/Constants!$B$6/C22))</f>
        <v>29626.22177852504</v>
      </c>
      <c r="E22">
        <f>D22/(Constants!$B$6*Cruise!C22)</f>
        <v>0.45258933137370166</v>
      </c>
      <c r="F22">
        <f>SQRT(Constants!$B$8*Constants!$B$6*Cruise!C22)</f>
        <v>302.7261909713132</v>
      </c>
      <c r="G22" s="5">
        <v>290</v>
      </c>
      <c r="H22">
        <f>SQRT(5*((Constants!$B$3/Cruise!E22*((1+0.2*(Cruise!G22/661.5)^2)^3.5-1)+1)^0.286-1))</f>
        <v>0.69620327326485065</v>
      </c>
      <c r="I22">
        <f t="shared" si="6"/>
        <v>210.75896505722852</v>
      </c>
      <c r="J22">
        <f>I22/Constants!$B$9</f>
        <v>409.68300739677886</v>
      </c>
      <c r="K22">
        <f>2*B22*Constants!$B$7/(Cruise!E22*Cruise!$B$2*Cruise!I22^2)</f>
        <v>0.39929127157970284</v>
      </c>
      <c r="L22" s="5">
        <v>0.02</v>
      </c>
      <c r="M22">
        <f t="shared" si="7"/>
        <v>2.6712865802240839E-2</v>
      </c>
      <c r="N22">
        <f>0.5*E22*Cruise!I22^2*Cruise!$B$2*Cruise!M22</f>
        <v>230385.00108374716</v>
      </c>
      <c r="O22" s="2">
        <f t="shared" si="0"/>
        <v>57596.250270936791</v>
      </c>
      <c r="P22" s="2">
        <f t="shared" si="1"/>
        <v>230385.00108374716</v>
      </c>
      <c r="Q22" s="2">
        <f>(P22-N22)*I22/B22/Constants!$B$7</f>
        <v>0</v>
      </c>
      <c r="R22" s="2">
        <f t="shared" si="8"/>
        <v>0</v>
      </c>
      <c r="S22" s="2">
        <f>P22*$B$1*$B$12/Constants!$B$7</f>
        <v>450.90642413944403</v>
      </c>
      <c r="T22" s="10">
        <f t="shared" si="9"/>
        <v>25291.075806867422</v>
      </c>
      <c r="U22" s="10">
        <f t="shared" si="10"/>
        <v>350587.41438090551</v>
      </c>
      <c r="V22" s="10">
        <f t="shared" si="11"/>
        <v>177037.53064807196</v>
      </c>
      <c r="W22" s="7">
        <f t="shared" si="12"/>
        <v>9249</v>
      </c>
      <c r="X22">
        <f t="shared" si="2"/>
        <v>840</v>
      </c>
      <c r="Y22" s="10">
        <f t="shared" si="3"/>
        <v>30987.414380905509</v>
      </c>
    </row>
    <row r="23" spans="1:25" x14ac:dyDescent="0.2">
      <c r="A23" s="7">
        <f t="shared" si="4"/>
        <v>9249</v>
      </c>
      <c r="B23" s="10">
        <f t="shared" si="5"/>
        <v>350587.41438090551</v>
      </c>
      <c r="C23">
        <f>IF(A23&lt;=11000,A23*Constants!$B$2+Constants!$B$1,216.7)</f>
        <v>228.08150000000001</v>
      </c>
      <c r="D23">
        <f>IF(A23&lt;=11000, Constants!$B$4*(1-0.0065*A23/Constants!$B$1)^5.2561, 22632*EXP(9.81*(11000-A23)/Constants!$B$6/C23))</f>
        <v>29626.22177852504</v>
      </c>
      <c r="E23">
        <f>D23/(Constants!$B$6*Cruise!C23)</f>
        <v>0.45258933137370166</v>
      </c>
      <c r="F23">
        <f>SQRT(Constants!$B$8*Constants!$B$6*Cruise!C23)</f>
        <v>302.7261909713132</v>
      </c>
      <c r="G23" s="5">
        <v>290</v>
      </c>
      <c r="H23">
        <f>SQRT(5*((Constants!$B$3/Cruise!E23*((1+0.2*(Cruise!G23/661.5)^2)^3.5-1)+1)^0.286-1))</f>
        <v>0.69620327326485065</v>
      </c>
      <c r="I23">
        <f t="shared" si="6"/>
        <v>210.75896505722852</v>
      </c>
      <c r="J23">
        <f>I23/Constants!$B$9</f>
        <v>409.68300739677886</v>
      </c>
      <c r="K23">
        <f>2*B23*Constants!$B$7/(Cruise!E23*Cruise!$B$2*Cruise!I23^2)</f>
        <v>0.39877838455629977</v>
      </c>
      <c r="L23" s="5">
        <v>0.02</v>
      </c>
      <c r="M23">
        <f t="shared" si="7"/>
        <v>2.669563161363395E-2</v>
      </c>
      <c r="N23">
        <f>0.5*E23*Cruise!I23^2*Cruise!$B$2*Cruise!M23</f>
        <v>230236.36489509299</v>
      </c>
      <c r="O23" s="2">
        <f t="shared" si="0"/>
        <v>57559.091223773248</v>
      </c>
      <c r="P23" s="2">
        <f t="shared" si="1"/>
        <v>230236.36489509299</v>
      </c>
      <c r="Q23" s="2">
        <f>(P23-N23)*I23/B23/Constants!$B$7</f>
        <v>0</v>
      </c>
      <c r="R23" s="2">
        <f t="shared" si="8"/>
        <v>0</v>
      </c>
      <c r="S23" s="2">
        <f>P23*$B$1*$B$12/Constants!$B$7</f>
        <v>450.6155153910077</v>
      </c>
      <c r="T23" s="10">
        <f t="shared" si="9"/>
        <v>25291.075806867422</v>
      </c>
      <c r="U23" s="10">
        <f t="shared" si="10"/>
        <v>350136.79886551452</v>
      </c>
      <c r="V23" s="10">
        <f t="shared" si="11"/>
        <v>202328.60645493938</v>
      </c>
      <c r="W23" s="7">
        <f t="shared" si="12"/>
        <v>9249</v>
      </c>
      <c r="X23">
        <f t="shared" si="2"/>
        <v>960</v>
      </c>
      <c r="Y23" s="10">
        <f t="shared" si="3"/>
        <v>30536.798865514516</v>
      </c>
    </row>
    <row r="24" spans="1:25" x14ac:dyDescent="0.2">
      <c r="A24" s="7">
        <f t="shared" si="4"/>
        <v>9249</v>
      </c>
      <c r="B24" s="10">
        <f t="shared" si="5"/>
        <v>350136.79886551452</v>
      </c>
      <c r="C24">
        <f>IF(A24&lt;=11000,A24*Constants!$B$2+Constants!$B$1,216.7)</f>
        <v>228.08150000000001</v>
      </c>
      <c r="D24">
        <f>IF(A24&lt;=11000, Constants!$B$4*(1-0.0065*A24/Constants!$B$1)^5.2561, 22632*EXP(9.81*(11000-A24)/Constants!$B$6/C24))</f>
        <v>29626.22177852504</v>
      </c>
      <c r="E24">
        <f>D24/(Constants!$B$6*Cruise!C24)</f>
        <v>0.45258933137370166</v>
      </c>
      <c r="F24">
        <f>SQRT(Constants!$B$8*Constants!$B$6*Cruise!C24)</f>
        <v>302.7261909713132</v>
      </c>
      <c r="G24" s="5">
        <v>290</v>
      </c>
      <c r="H24">
        <f>SQRT(5*((Constants!$B$3/Cruise!E24*((1+0.2*(Cruise!G24/661.5)^2)^3.5-1)+1)^0.286-1))</f>
        <v>0.69620327326485065</v>
      </c>
      <c r="I24">
        <f t="shared" si="6"/>
        <v>210.75896505722852</v>
      </c>
      <c r="J24">
        <f>I24/Constants!$B$9</f>
        <v>409.68300739677886</v>
      </c>
      <c r="K24">
        <f>2*B24*Constants!$B$7/(Cruise!E24*Cruise!$B$2*Cruise!I24^2)</f>
        <v>0.39826582842931801</v>
      </c>
      <c r="L24" s="5">
        <v>0.02</v>
      </c>
      <c r="M24">
        <f t="shared" si="7"/>
        <v>2.6678430673907821E-2</v>
      </c>
      <c r="N24">
        <f>0.5*E24*Cruise!I24^2*Cruise!$B$2*Cruise!M24</f>
        <v>230088.01546127396</v>
      </c>
      <c r="O24" s="2">
        <f t="shared" si="0"/>
        <v>57522.003865318489</v>
      </c>
      <c r="P24" s="2">
        <f t="shared" si="1"/>
        <v>230088.01546127396</v>
      </c>
      <c r="Q24" s="2">
        <f>(P24-N24)*I24/B24/Constants!$B$7</f>
        <v>0</v>
      </c>
      <c r="R24" s="2">
        <f t="shared" si="8"/>
        <v>0</v>
      </c>
      <c r="S24" s="2">
        <f>P24*$B$1*$B$12/Constants!$B$7</f>
        <v>450.32516787527624</v>
      </c>
      <c r="T24" s="10">
        <f t="shared" si="9"/>
        <v>25291.075806867422</v>
      </c>
      <c r="U24" s="10">
        <f t="shared" si="10"/>
        <v>349686.47369763925</v>
      </c>
      <c r="V24" s="10">
        <f t="shared" si="11"/>
        <v>227619.6822618068</v>
      </c>
      <c r="W24" s="7">
        <f t="shared" si="12"/>
        <v>9249</v>
      </c>
      <c r="X24">
        <f t="shared" si="2"/>
        <v>1080</v>
      </c>
      <c r="Y24" s="10">
        <f t="shared" si="3"/>
        <v>30086.473697639245</v>
      </c>
    </row>
    <row r="25" spans="1:25" x14ac:dyDescent="0.2">
      <c r="A25" s="7">
        <f t="shared" si="4"/>
        <v>9249</v>
      </c>
      <c r="B25" s="10">
        <f t="shared" si="5"/>
        <v>349686.47369763925</v>
      </c>
      <c r="C25">
        <f>IF(A25&lt;=11000,A25*Constants!$B$2+Constants!$B$1,216.7)</f>
        <v>228.08150000000001</v>
      </c>
      <c r="D25">
        <f>IF(A25&lt;=11000, Constants!$B$4*(1-0.0065*A25/Constants!$B$1)^5.2561, 22632*EXP(9.81*(11000-A25)/Constants!$B$6/C25))</f>
        <v>29626.22177852504</v>
      </c>
      <c r="E25">
        <f>D25/(Constants!$B$6*Cruise!C25)</f>
        <v>0.45258933137370166</v>
      </c>
      <c r="F25">
        <f>SQRT(Constants!$B$8*Constants!$B$6*Cruise!C25)</f>
        <v>302.7261909713132</v>
      </c>
      <c r="G25" s="5">
        <v>290</v>
      </c>
      <c r="H25">
        <f>SQRT(5*((Constants!$B$3/Cruise!E25*((1+0.2*(Cruise!G25/661.5)^2)^3.5-1)+1)^0.286-1))</f>
        <v>0.69620327326485065</v>
      </c>
      <c r="I25">
        <f t="shared" si="6"/>
        <v>210.75896505722852</v>
      </c>
      <c r="J25">
        <f>I25/Constants!$B$9</f>
        <v>409.68300739677886</v>
      </c>
      <c r="K25">
        <f>2*B25*Constants!$B$7/(Cruise!E25*Cruise!$B$2*Cruise!I25^2)</f>
        <v>0.397753602560379</v>
      </c>
      <c r="L25" s="5">
        <v>0.02</v>
      </c>
      <c r="M25">
        <f t="shared" si="7"/>
        <v>2.6661262918834049E-2</v>
      </c>
      <c r="N25">
        <f>0.5*E25*Cruise!I25^2*Cruise!$B$2*Cruise!M25</f>
        <v>229939.95222835251</v>
      </c>
      <c r="O25" s="2">
        <f t="shared" si="0"/>
        <v>57484.988057088129</v>
      </c>
      <c r="P25" s="2">
        <f t="shared" si="1"/>
        <v>229939.95222835251</v>
      </c>
      <c r="Q25" s="2">
        <f>(P25-N25)*I25/B25/Constants!$B$7</f>
        <v>0</v>
      </c>
      <c r="R25" s="2">
        <f t="shared" si="8"/>
        <v>0</v>
      </c>
      <c r="S25" s="2">
        <f>P25*$B$1*$B$12/Constants!$B$7</f>
        <v>450.03538050809055</v>
      </c>
      <c r="T25" s="10">
        <f t="shared" si="9"/>
        <v>25291.075806867422</v>
      </c>
      <c r="U25" s="10">
        <f t="shared" si="10"/>
        <v>349236.43831713113</v>
      </c>
      <c r="V25" s="10">
        <f t="shared" si="11"/>
        <v>252910.75806867421</v>
      </c>
      <c r="W25" s="7">
        <f t="shared" si="12"/>
        <v>9249</v>
      </c>
      <c r="X25">
        <f t="shared" si="2"/>
        <v>1200</v>
      </c>
      <c r="Y25" s="10">
        <f t="shared" si="3"/>
        <v>29636.438317131135</v>
      </c>
    </row>
    <row r="26" spans="1:25" x14ac:dyDescent="0.2">
      <c r="A26" s="7">
        <f t="shared" si="4"/>
        <v>9249</v>
      </c>
      <c r="B26" s="10">
        <f t="shared" si="5"/>
        <v>349236.43831713113</v>
      </c>
      <c r="C26">
        <f>IF(A26&lt;=11000,A26*Constants!$B$2+Constants!$B$1,216.7)</f>
        <v>228.08150000000001</v>
      </c>
      <c r="D26">
        <f>IF(A26&lt;=11000, Constants!$B$4*(1-0.0065*A26/Constants!$B$1)^5.2561, 22632*EXP(9.81*(11000-A26)/Constants!$B$6/C26))</f>
        <v>29626.22177852504</v>
      </c>
      <c r="E26">
        <f>D26/(Constants!$B$6*Cruise!C26)</f>
        <v>0.45258933137370166</v>
      </c>
      <c r="F26">
        <f>SQRT(Constants!$B$8*Constants!$B$6*Cruise!C26)</f>
        <v>302.7261909713132</v>
      </c>
      <c r="G26" s="5">
        <v>290</v>
      </c>
      <c r="H26">
        <f>SQRT(5*((Constants!$B$3/Cruise!E26*((1+0.2*(Cruise!G26/661.5)^2)^3.5-1)+1)^0.286-1))</f>
        <v>0.69620327326485065</v>
      </c>
      <c r="I26">
        <f t="shared" si="6"/>
        <v>210.75896505722852</v>
      </c>
      <c r="J26">
        <f>I26/Constants!$B$9</f>
        <v>409.68300739677886</v>
      </c>
      <c r="K26">
        <f>2*B26*Constants!$B$7/(Cruise!E26*Cruise!$B$2*Cruise!I26^2)</f>
        <v>0.39724170631233735</v>
      </c>
      <c r="L26" s="5">
        <v>0.02</v>
      </c>
      <c r="M26">
        <f t="shared" si="7"/>
        <v>2.6644128284363224E-2</v>
      </c>
      <c r="N26">
        <f>0.5*E26*Cruise!I26^2*Cruise!$B$2*Cruise!M26</f>
        <v>229792.17464393476</v>
      </c>
      <c r="O26" s="2">
        <f t="shared" si="0"/>
        <v>57448.043660983691</v>
      </c>
      <c r="P26" s="2">
        <f t="shared" si="1"/>
        <v>229792.17464393476</v>
      </c>
      <c r="Q26" s="2">
        <f>(P26-N26)*I26/B26/Constants!$B$7</f>
        <v>0</v>
      </c>
      <c r="R26" s="2">
        <f t="shared" si="8"/>
        <v>0</v>
      </c>
      <c r="S26" s="2">
        <f>P26*$B$1*$B$12/Constants!$B$7</f>
        <v>449.74615220831265</v>
      </c>
      <c r="T26" s="10">
        <f t="shared" si="9"/>
        <v>25291.075806867422</v>
      </c>
      <c r="U26" s="10">
        <f t="shared" si="10"/>
        <v>348786.69216492283</v>
      </c>
      <c r="V26" s="10">
        <f t="shared" si="11"/>
        <v>278201.83387554163</v>
      </c>
      <c r="W26" s="7">
        <f t="shared" si="12"/>
        <v>9249</v>
      </c>
      <c r="X26">
        <f t="shared" si="2"/>
        <v>1320</v>
      </c>
      <c r="Y26" s="10">
        <f t="shared" si="3"/>
        <v>29186.692164922832</v>
      </c>
    </row>
    <row r="27" spans="1:25" x14ac:dyDescent="0.2">
      <c r="A27" s="7">
        <f t="shared" si="4"/>
        <v>9249</v>
      </c>
      <c r="B27" s="10">
        <f t="shared" si="5"/>
        <v>348786.69216492283</v>
      </c>
      <c r="C27">
        <f>IF(A27&lt;=11000,A27*Constants!$B$2+Constants!$B$1,216.7)</f>
        <v>228.08150000000001</v>
      </c>
      <c r="D27">
        <f>IF(A27&lt;=11000, Constants!$B$4*(1-0.0065*A27/Constants!$B$1)^5.2561, 22632*EXP(9.81*(11000-A27)/Constants!$B$6/C27))</f>
        <v>29626.22177852504</v>
      </c>
      <c r="E27">
        <f>D27/(Constants!$B$6*Cruise!C27)</f>
        <v>0.45258933137370166</v>
      </c>
      <c r="F27">
        <f>SQRT(Constants!$B$8*Constants!$B$6*Cruise!C27)</f>
        <v>302.7261909713132</v>
      </c>
      <c r="G27" s="5">
        <v>290</v>
      </c>
      <c r="H27">
        <f>SQRT(5*((Constants!$B$3/Cruise!E27*((1+0.2*(Cruise!G27/661.5)^2)^3.5-1)+1)^0.286-1))</f>
        <v>0.69620327326485065</v>
      </c>
      <c r="I27">
        <f t="shared" si="6"/>
        <v>210.75896505722852</v>
      </c>
      <c r="J27">
        <f>I27/Constants!$B$9</f>
        <v>409.68300739677886</v>
      </c>
      <c r="K27">
        <f>2*B27*Constants!$B$7/(Cruise!E27*Cruise!$B$2*Cruise!I27^2)</f>
        <v>0.39673013904927762</v>
      </c>
      <c r="L27" s="5">
        <v>0.02</v>
      </c>
      <c r="M27">
        <f t="shared" si="7"/>
        <v>2.6627026706624375E-2</v>
      </c>
      <c r="N27">
        <f>0.5*E27*Cruise!I27^2*Cruise!$B$2*Cruise!M27</f>
        <v>229644.68215716581</v>
      </c>
      <c r="O27" s="2">
        <f t="shared" si="0"/>
        <v>57411.170539291452</v>
      </c>
      <c r="P27" s="2">
        <f t="shared" si="1"/>
        <v>229644.68215716581</v>
      </c>
      <c r="Q27" s="2">
        <f>(P27-N27)*I27/B27/Constants!$B$7</f>
        <v>0</v>
      </c>
      <c r="R27" s="2">
        <f t="shared" si="8"/>
        <v>0</v>
      </c>
      <c r="S27" s="2">
        <f>P27*$B$1*$B$12/Constants!$B$7</f>
        <v>449.45748189781693</v>
      </c>
      <c r="T27" s="10">
        <f t="shared" si="9"/>
        <v>25291.075806867422</v>
      </c>
      <c r="U27" s="10">
        <f t="shared" si="10"/>
        <v>348337.23468302499</v>
      </c>
      <c r="V27" s="10">
        <f t="shared" si="11"/>
        <v>303492.90968240908</v>
      </c>
      <c r="W27" s="7">
        <f t="shared" si="12"/>
        <v>9249</v>
      </c>
      <c r="X27">
        <f t="shared" si="2"/>
        <v>1440</v>
      </c>
      <c r="Y27" s="10">
        <f t="shared" si="3"/>
        <v>28737.234683024988</v>
      </c>
    </row>
    <row r="28" spans="1:25" x14ac:dyDescent="0.2">
      <c r="A28" s="7">
        <f t="shared" si="4"/>
        <v>9249</v>
      </c>
      <c r="B28" s="10">
        <f t="shared" si="5"/>
        <v>348337.23468302499</v>
      </c>
      <c r="C28">
        <f>IF(A28&lt;=11000,A28*Constants!$B$2+Constants!$B$1,216.7)</f>
        <v>228.08150000000001</v>
      </c>
      <c r="D28">
        <f>IF(A28&lt;=11000, Constants!$B$4*(1-0.0065*A28/Constants!$B$1)^5.2561, 22632*EXP(9.81*(11000-A28)/Constants!$B$6/C28))</f>
        <v>29626.22177852504</v>
      </c>
      <c r="E28">
        <f>D28/(Constants!$B$6*Cruise!C28)</f>
        <v>0.45258933137370166</v>
      </c>
      <c r="F28">
        <f>SQRT(Constants!$B$8*Constants!$B$6*Cruise!C28)</f>
        <v>302.7261909713132</v>
      </c>
      <c r="G28" s="5">
        <v>290</v>
      </c>
      <c r="H28">
        <f>SQRT(5*((Constants!$B$3/Cruise!E28*((1+0.2*(Cruise!G28/661.5)^2)^3.5-1)+1)^0.286-1))</f>
        <v>0.69620327326485065</v>
      </c>
      <c r="I28">
        <f t="shared" si="6"/>
        <v>210.75896505722852</v>
      </c>
      <c r="J28">
        <f>I28/Constants!$B$9</f>
        <v>409.68300739677886</v>
      </c>
      <c r="K28">
        <f>2*B28*Constants!$B$7/(Cruise!E28*Cruise!$B$2*Cruise!I28^2)</f>
        <v>0.3962189001365104</v>
      </c>
      <c r="L28" s="5">
        <v>0.02</v>
      </c>
      <c r="M28">
        <f t="shared" si="7"/>
        <v>2.6609958121924376E-2</v>
      </c>
      <c r="N28">
        <f>0.5*E28*Cruise!I28^2*Cruise!$B$2*Cruise!M28</f>
        <v>229497.4742187245</v>
      </c>
      <c r="O28" s="2">
        <f t="shared" si="0"/>
        <v>57374.368554681125</v>
      </c>
      <c r="P28" s="2">
        <f t="shared" si="1"/>
        <v>229497.4742187245</v>
      </c>
      <c r="Q28" s="2">
        <f>(P28-N28)*I28/B28/Constants!$B$7</f>
        <v>0</v>
      </c>
      <c r="R28" s="2">
        <f t="shared" si="8"/>
        <v>0</v>
      </c>
      <c r="S28" s="2">
        <f>P28*$B$1*$B$12/Constants!$B$7</f>
        <v>449.1693685014792</v>
      </c>
      <c r="T28" s="10">
        <f t="shared" si="9"/>
        <v>25291.075806867422</v>
      </c>
      <c r="U28" s="10">
        <f t="shared" si="10"/>
        <v>347888.06531452353</v>
      </c>
      <c r="V28" s="10">
        <f t="shared" si="11"/>
        <v>328783.98548927653</v>
      </c>
      <c r="W28" s="7">
        <f t="shared" si="12"/>
        <v>9249</v>
      </c>
      <c r="X28">
        <f t="shared" si="2"/>
        <v>1560</v>
      </c>
      <c r="Y28" s="10">
        <f t="shared" si="3"/>
        <v>28288.065314523526</v>
      </c>
    </row>
    <row r="29" spans="1:25" x14ac:dyDescent="0.2">
      <c r="A29" s="7">
        <f t="shared" si="4"/>
        <v>9249</v>
      </c>
      <c r="B29" s="10">
        <f t="shared" si="5"/>
        <v>347888.06531452353</v>
      </c>
      <c r="C29">
        <f>IF(A29&lt;=11000,A29*Constants!$B$2+Constants!$B$1,216.7)</f>
        <v>228.08150000000001</v>
      </c>
      <c r="D29">
        <f>IF(A29&lt;=11000, Constants!$B$4*(1-0.0065*A29/Constants!$B$1)^5.2561, 22632*EXP(9.81*(11000-A29)/Constants!$B$6/C29))</f>
        <v>29626.22177852504</v>
      </c>
      <c r="E29">
        <f>D29/(Constants!$B$6*Cruise!C29)</f>
        <v>0.45258933137370166</v>
      </c>
      <c r="F29">
        <f>SQRT(Constants!$B$8*Constants!$B$6*Cruise!C29)</f>
        <v>302.7261909713132</v>
      </c>
      <c r="G29" s="5">
        <v>290</v>
      </c>
      <c r="H29">
        <f>SQRT(5*((Constants!$B$3/Cruise!E29*((1+0.2*(Cruise!G29/661.5)^2)^3.5-1)+1)^0.286-1))</f>
        <v>0.69620327326485065</v>
      </c>
      <c r="I29">
        <f t="shared" si="6"/>
        <v>210.75896505722852</v>
      </c>
      <c r="J29">
        <f>I29/Constants!$B$9</f>
        <v>409.68300739677886</v>
      </c>
      <c r="K29">
        <f>2*B29*Constants!$B$7/(Cruise!E29*Cruise!$B$2*Cruise!I29^2)</f>
        <v>0.39570798894056947</v>
      </c>
      <c r="L29" s="5">
        <v>0.02</v>
      </c>
      <c r="M29">
        <f t="shared" si="7"/>
        <v>2.6592922466747448E-2</v>
      </c>
      <c r="N29">
        <f>0.5*E29*Cruise!I29^2*Cruise!$B$2*Cruise!M29</f>
        <v>229350.55028081927</v>
      </c>
      <c r="O29" s="2">
        <f t="shared" si="0"/>
        <v>57337.637570204817</v>
      </c>
      <c r="P29" s="2">
        <f t="shared" si="1"/>
        <v>229350.55028081927</v>
      </c>
      <c r="Q29" s="2">
        <f>(P29-N29)*I29/B29/Constants!$B$7</f>
        <v>0</v>
      </c>
      <c r="R29" s="2">
        <f t="shared" si="8"/>
        <v>0</v>
      </c>
      <c r="S29" s="2">
        <f>P29*$B$1*$B$12/Constants!$B$7</f>
        <v>448.88181094716924</v>
      </c>
      <c r="T29" s="10">
        <f t="shared" si="9"/>
        <v>25291.075806867422</v>
      </c>
      <c r="U29" s="10">
        <f t="shared" si="10"/>
        <v>347439.18350357638</v>
      </c>
      <c r="V29" s="10">
        <f t="shared" si="11"/>
        <v>354075.06129614398</v>
      </c>
      <c r="W29" s="7">
        <f t="shared" si="12"/>
        <v>9249</v>
      </c>
      <c r="X29">
        <f t="shared" si="2"/>
        <v>1680</v>
      </c>
      <c r="Y29" s="10">
        <f t="shared" si="3"/>
        <v>27839.18350357638</v>
      </c>
    </row>
    <row r="30" spans="1:25" x14ac:dyDescent="0.2">
      <c r="A30" s="7">
        <f t="shared" si="4"/>
        <v>9249</v>
      </c>
      <c r="B30" s="10">
        <f t="shared" si="5"/>
        <v>347439.18350357638</v>
      </c>
      <c r="C30">
        <f>IF(A30&lt;=11000,A30*Constants!$B$2+Constants!$B$1,216.7)</f>
        <v>228.08150000000001</v>
      </c>
      <c r="D30">
        <f>IF(A30&lt;=11000, Constants!$B$4*(1-0.0065*A30/Constants!$B$1)^5.2561, 22632*EXP(9.81*(11000-A30)/Constants!$B$6/C30))</f>
        <v>29626.22177852504</v>
      </c>
      <c r="E30">
        <f>D30/(Constants!$B$6*Cruise!C30)</f>
        <v>0.45258933137370166</v>
      </c>
      <c r="F30">
        <f>SQRT(Constants!$B$8*Constants!$B$6*Cruise!C30)</f>
        <v>302.7261909713132</v>
      </c>
      <c r="G30" s="5">
        <v>290</v>
      </c>
      <c r="H30">
        <f>SQRT(5*((Constants!$B$3/Cruise!E30*((1+0.2*(Cruise!G30/661.5)^2)^3.5-1)+1)^0.286-1))</f>
        <v>0.69620327326485065</v>
      </c>
      <c r="I30">
        <f t="shared" si="6"/>
        <v>210.75896505722852</v>
      </c>
      <c r="J30">
        <f>I30/Constants!$B$9</f>
        <v>409.68300739677886</v>
      </c>
      <c r="K30">
        <f>2*B30*Constants!$B$7/(Cruise!E30*Cruise!$B$2*Cruise!I30^2)</f>
        <v>0.3951974048292079</v>
      </c>
      <c r="L30" s="5">
        <v>0.02</v>
      </c>
      <c r="M30">
        <f t="shared" si="7"/>
        <v>2.6575919677754557E-2</v>
      </c>
      <c r="N30">
        <f>0.5*E30*Cruise!I30^2*Cruise!$B$2*Cruise!M30</f>
        <v>229203.90979718289</v>
      </c>
      <c r="O30" s="2">
        <f t="shared" si="0"/>
        <v>57300.977449295722</v>
      </c>
      <c r="P30" s="2">
        <f t="shared" si="1"/>
        <v>229203.90979718289</v>
      </c>
      <c r="Q30" s="2">
        <f>(P30-N30)*I30/B30/Constants!$B$7</f>
        <v>0</v>
      </c>
      <c r="R30" s="2">
        <f t="shared" si="8"/>
        <v>0</v>
      </c>
      <c r="S30" s="2">
        <f>P30*$B$1*$B$12/Constants!$B$7</f>
        <v>448.59480816574023</v>
      </c>
      <c r="T30" s="10">
        <f t="shared" si="9"/>
        <v>25291.075806867422</v>
      </c>
      <c r="U30" s="10">
        <f t="shared" si="10"/>
        <v>346990.58869541064</v>
      </c>
      <c r="V30" s="10">
        <f t="shared" si="11"/>
        <v>379366.13710301142</v>
      </c>
      <c r="W30" s="7">
        <f t="shared" si="12"/>
        <v>9249</v>
      </c>
      <c r="X30">
        <f t="shared" si="2"/>
        <v>1800</v>
      </c>
      <c r="Y30" s="10">
        <f t="shared" si="3"/>
        <v>27390.588695410639</v>
      </c>
    </row>
    <row r="31" spans="1:25" x14ac:dyDescent="0.2">
      <c r="A31" s="7">
        <f t="shared" si="4"/>
        <v>9249</v>
      </c>
      <c r="B31" s="10">
        <f t="shared" si="5"/>
        <v>346990.58869541064</v>
      </c>
      <c r="C31">
        <f>IF(A31&lt;=11000,A31*Constants!$B$2+Constants!$B$1,216.7)</f>
        <v>228.08150000000001</v>
      </c>
      <c r="D31">
        <f>IF(A31&lt;=11000, Constants!$B$4*(1-0.0065*A31/Constants!$B$1)^5.2561, 22632*EXP(9.81*(11000-A31)/Constants!$B$6/C31))</f>
        <v>29626.22177852504</v>
      </c>
      <c r="E31">
        <f>D31/(Constants!$B$6*Cruise!C31)</f>
        <v>0.45258933137370166</v>
      </c>
      <c r="F31">
        <f>SQRT(Constants!$B$8*Constants!$B$6*Cruise!C31)</f>
        <v>302.7261909713132</v>
      </c>
      <c r="G31" s="5">
        <v>290</v>
      </c>
      <c r="H31">
        <f>SQRT(5*((Constants!$B$3/Cruise!E31*((1+0.2*(Cruise!G31/661.5)^2)^3.5-1)+1)^0.286-1))</f>
        <v>0.69620327326485065</v>
      </c>
      <c r="I31">
        <f t="shared" si="6"/>
        <v>210.75896505722852</v>
      </c>
      <c r="J31">
        <f>I31/Constants!$B$9</f>
        <v>409.68300739677886</v>
      </c>
      <c r="K31">
        <f>2*B31*Constants!$B$7/(Cruise!E31*Cruise!$B$2*Cruise!I31^2)</f>
        <v>0.39468714717139508</v>
      </c>
      <c r="L31" s="5">
        <v>0.02</v>
      </c>
      <c r="M31">
        <f t="shared" si="7"/>
        <v>2.6558949691782893E-2</v>
      </c>
      <c r="N31">
        <f>0.5*E31*Cruise!I31^2*Cruise!$B$2*Cruise!M31</f>
        <v>229057.55222306799</v>
      </c>
      <c r="O31" s="2">
        <f t="shared" si="0"/>
        <v>57264.388055766998</v>
      </c>
      <c r="P31" s="2">
        <f t="shared" si="1"/>
        <v>229057.55222306799</v>
      </c>
      <c r="Q31" s="2">
        <f>(P31-N31)*I31/B31/Constants!$B$7</f>
        <v>0</v>
      </c>
      <c r="R31" s="2">
        <f t="shared" si="8"/>
        <v>0</v>
      </c>
      <c r="S31" s="2">
        <f>P31*$B$1*$B$12/Constants!$B$7</f>
        <v>448.3083590910199</v>
      </c>
      <c r="T31" s="10">
        <f t="shared" si="9"/>
        <v>25291.075806867422</v>
      </c>
      <c r="U31" s="10">
        <f t="shared" si="10"/>
        <v>346542.28033631964</v>
      </c>
      <c r="V31" s="10">
        <f t="shared" si="11"/>
        <v>404657.21290987887</v>
      </c>
      <c r="W31" s="7">
        <f t="shared" si="12"/>
        <v>9249</v>
      </c>
      <c r="X31">
        <f t="shared" si="2"/>
        <v>1920</v>
      </c>
      <c r="Y31" s="10">
        <f t="shared" si="3"/>
        <v>26942.280336319644</v>
      </c>
    </row>
    <row r="32" spans="1:25" x14ac:dyDescent="0.2">
      <c r="A32" s="7">
        <f t="shared" si="4"/>
        <v>9249</v>
      </c>
      <c r="B32" s="10">
        <f t="shared" si="5"/>
        <v>346542.28033631964</v>
      </c>
      <c r="C32">
        <f>IF(A32&lt;=11000,A32*Constants!$B$2+Constants!$B$1,216.7)</f>
        <v>228.08150000000001</v>
      </c>
      <c r="D32">
        <f>IF(A32&lt;=11000, Constants!$B$4*(1-0.0065*A32/Constants!$B$1)^5.2561, 22632*EXP(9.81*(11000-A32)/Constants!$B$6/C32))</f>
        <v>29626.22177852504</v>
      </c>
      <c r="E32">
        <f>D32/(Constants!$B$6*Cruise!C32)</f>
        <v>0.45258933137370166</v>
      </c>
      <c r="F32">
        <f>SQRT(Constants!$B$8*Constants!$B$6*Cruise!C32)</f>
        <v>302.7261909713132</v>
      </c>
      <c r="G32" s="5">
        <v>290</v>
      </c>
      <c r="H32">
        <f>SQRT(5*((Constants!$B$3/Cruise!E32*((1+0.2*(Cruise!G32/661.5)^2)^3.5-1)+1)^0.286-1))</f>
        <v>0.69620327326485065</v>
      </c>
      <c r="I32">
        <f t="shared" si="6"/>
        <v>210.75896505722852</v>
      </c>
      <c r="J32">
        <f>I32/Constants!$B$9</f>
        <v>409.68300739677886</v>
      </c>
      <c r="K32">
        <f>2*B32*Constants!$B$7/(Cruise!E32*Cruise!$B$2*Cruise!I32^2)</f>
        <v>0.39417721533731281</v>
      </c>
      <c r="L32" s="5">
        <v>0.02</v>
      </c>
      <c r="M32">
        <f t="shared" si="7"/>
        <v>2.6542012445845309E-2</v>
      </c>
      <c r="N32">
        <f>0.5*E32*Cruise!I32^2*Cruise!$B$2*Cruise!M32</f>
        <v>228911.47701524216</v>
      </c>
      <c r="O32" s="2">
        <f t="shared" si="0"/>
        <v>57227.869253810539</v>
      </c>
      <c r="P32" s="2">
        <f t="shared" si="1"/>
        <v>228911.47701524216</v>
      </c>
      <c r="Q32" s="2">
        <f>(P32-N32)*I32/B32/Constants!$B$7</f>
        <v>0</v>
      </c>
      <c r="R32" s="2">
        <f t="shared" si="8"/>
        <v>0</v>
      </c>
      <c r="S32" s="2">
        <f>P32*$B$1*$B$12/Constants!$B$7</f>
        <v>448.02246265980119</v>
      </c>
      <c r="T32" s="10">
        <f t="shared" si="9"/>
        <v>25291.075806867422</v>
      </c>
      <c r="U32" s="10">
        <f t="shared" si="10"/>
        <v>346094.25787365984</v>
      </c>
      <c r="V32" s="10">
        <f t="shared" si="11"/>
        <v>429948.28871674632</v>
      </c>
      <c r="W32" s="7">
        <f t="shared" si="12"/>
        <v>9249</v>
      </c>
      <c r="X32">
        <f t="shared" si="2"/>
        <v>2040</v>
      </c>
      <c r="Y32" s="10">
        <f t="shared" si="3"/>
        <v>26494.257873659837</v>
      </c>
    </row>
    <row r="33" spans="1:25" x14ac:dyDescent="0.2">
      <c r="A33" s="7">
        <f t="shared" si="4"/>
        <v>9249</v>
      </c>
      <c r="B33" s="10">
        <f t="shared" si="5"/>
        <v>346094.25787365984</v>
      </c>
      <c r="C33">
        <f>IF(A33&lt;=11000,A33*Constants!$B$2+Constants!$B$1,216.7)</f>
        <v>228.08150000000001</v>
      </c>
      <c r="D33">
        <f>IF(A33&lt;=11000, Constants!$B$4*(1-0.0065*A33/Constants!$B$1)^5.2561, 22632*EXP(9.81*(11000-A33)/Constants!$B$6/C33))</f>
        <v>29626.22177852504</v>
      </c>
      <c r="E33">
        <f>D33/(Constants!$B$6*Cruise!C33)</f>
        <v>0.45258933137370166</v>
      </c>
      <c r="F33">
        <f>SQRT(Constants!$B$8*Constants!$B$6*Cruise!C33)</f>
        <v>302.7261909713132</v>
      </c>
      <c r="G33" s="5">
        <v>290</v>
      </c>
      <c r="H33">
        <f>SQRT(5*((Constants!$B$3/Cruise!E33*((1+0.2*(Cruise!G33/661.5)^2)^3.5-1)+1)^0.286-1))</f>
        <v>0.69620327326485065</v>
      </c>
      <c r="I33">
        <f t="shared" si="6"/>
        <v>210.75896505722852</v>
      </c>
      <c r="J33">
        <f>I33/Constants!$B$9</f>
        <v>409.68300739677886</v>
      </c>
      <c r="K33">
        <f>2*B33*Constants!$B$7/(Cruise!E33*Cruise!$B$2*Cruise!I33^2)</f>
        <v>0.3936676086983526</v>
      </c>
      <c r="L33" s="5">
        <v>0.02</v>
      </c>
      <c r="M33">
        <f t="shared" si="7"/>
        <v>2.6525107877129799E-2</v>
      </c>
      <c r="N33">
        <f>0.5*E33*Cruise!I33^2*Cruise!$B$2*Cruise!M33</f>
        <v>228765.6836319835</v>
      </c>
      <c r="O33" s="2">
        <f t="shared" si="0"/>
        <v>57191.420907995875</v>
      </c>
      <c r="P33" s="2">
        <f t="shared" si="1"/>
        <v>228765.6836319835</v>
      </c>
      <c r="Q33" s="2">
        <f>(P33-N33)*I33/B33/Constants!$B$7</f>
        <v>0</v>
      </c>
      <c r="R33" s="2">
        <f t="shared" si="8"/>
        <v>0</v>
      </c>
      <c r="S33" s="2">
        <f>P33*$B$1*$B$12/Constants!$B$7</f>
        <v>447.73711781183312</v>
      </c>
      <c r="T33" s="10">
        <f t="shared" si="9"/>
        <v>25291.075806867422</v>
      </c>
      <c r="U33" s="10">
        <f t="shared" si="10"/>
        <v>345646.52075584803</v>
      </c>
      <c r="V33" s="10">
        <f t="shared" si="11"/>
        <v>455239.36452361377</v>
      </c>
      <c r="W33" s="7">
        <f t="shared" si="12"/>
        <v>9249</v>
      </c>
      <c r="X33">
        <f t="shared" si="2"/>
        <v>2160</v>
      </c>
      <c r="Y33" s="10">
        <f t="shared" si="3"/>
        <v>26046.520755848032</v>
      </c>
    </row>
    <row r="34" spans="1:25" x14ac:dyDescent="0.2">
      <c r="A34" s="7">
        <f t="shared" si="4"/>
        <v>9249</v>
      </c>
      <c r="B34" s="10">
        <f t="shared" si="5"/>
        <v>345646.52075584803</v>
      </c>
      <c r="C34">
        <f>IF(A34&lt;=11000,A34*Constants!$B$2+Constants!$B$1,216.7)</f>
        <v>228.08150000000001</v>
      </c>
      <c r="D34">
        <f>IF(A34&lt;=11000, Constants!$B$4*(1-0.0065*A34/Constants!$B$1)^5.2561, 22632*EXP(9.81*(11000-A34)/Constants!$B$6/C34))</f>
        <v>29626.22177852504</v>
      </c>
      <c r="E34">
        <f>D34/(Constants!$B$6*Cruise!C34)</f>
        <v>0.45258933137370166</v>
      </c>
      <c r="F34">
        <f>SQRT(Constants!$B$8*Constants!$B$6*Cruise!C34)</f>
        <v>302.7261909713132</v>
      </c>
      <c r="G34" s="5">
        <v>290</v>
      </c>
      <c r="H34">
        <f>SQRT(5*((Constants!$B$3/Cruise!E34*((1+0.2*(Cruise!G34/661.5)^2)^3.5-1)+1)^0.286-1))</f>
        <v>0.69620327326485065</v>
      </c>
      <c r="I34">
        <f t="shared" si="6"/>
        <v>210.75896505722852</v>
      </c>
      <c r="J34">
        <f>I34/Constants!$B$9</f>
        <v>409.68300739677886</v>
      </c>
      <c r="K34">
        <f>2*B34*Constants!$B$7/(Cruise!E34*Cruise!$B$2*Cruise!I34^2)</f>
        <v>0.3931583266271117</v>
      </c>
      <c r="L34" s="5">
        <v>0.02</v>
      </c>
      <c r="M34">
        <f t="shared" si="7"/>
        <v>2.6508235922998915E-2</v>
      </c>
      <c r="N34">
        <f>0.5*E34*Cruise!I34^2*Cruise!$B$2*Cruise!M34</f>
        <v>228620.17153307563</v>
      </c>
      <c r="O34" s="2">
        <f t="shared" si="0"/>
        <v>57155.042883268907</v>
      </c>
      <c r="P34" s="2">
        <f t="shared" si="1"/>
        <v>228620.17153307563</v>
      </c>
      <c r="Q34" s="2">
        <f>(P34-N34)*I34/B34/Constants!$B$7</f>
        <v>0</v>
      </c>
      <c r="R34" s="2">
        <f t="shared" si="8"/>
        <v>0</v>
      </c>
      <c r="S34" s="2">
        <f>P34*$B$1*$B$12/Constants!$B$7</f>
        <v>447.4523234898117</v>
      </c>
      <c r="T34" s="10">
        <f t="shared" si="9"/>
        <v>25291.075806867422</v>
      </c>
      <c r="U34" s="10">
        <f t="shared" si="10"/>
        <v>345199.06843235821</v>
      </c>
      <c r="V34" s="10">
        <f t="shared" si="11"/>
        <v>480530.44033048121</v>
      </c>
      <c r="W34" s="7">
        <f t="shared" si="12"/>
        <v>9249</v>
      </c>
      <c r="X34">
        <f t="shared" si="2"/>
        <v>2280</v>
      </c>
      <c r="Y34" s="10">
        <f t="shared" si="3"/>
        <v>25599.06843235821</v>
      </c>
    </row>
    <row r="35" spans="1:25" x14ac:dyDescent="0.2">
      <c r="A35" s="7">
        <f t="shared" si="4"/>
        <v>9249</v>
      </c>
      <c r="B35" s="10">
        <f t="shared" si="5"/>
        <v>345199.06843235821</v>
      </c>
      <c r="C35">
        <f>IF(A35&lt;=11000,A35*Constants!$B$2+Constants!$B$1,216.7)</f>
        <v>228.08150000000001</v>
      </c>
      <c r="D35">
        <f>IF(A35&lt;=11000, Constants!$B$4*(1-0.0065*A35/Constants!$B$1)^5.2561, 22632*EXP(9.81*(11000-A35)/Constants!$B$6/C35))</f>
        <v>29626.22177852504</v>
      </c>
      <c r="E35">
        <f>D35/(Constants!$B$6*Cruise!C35)</f>
        <v>0.45258933137370166</v>
      </c>
      <c r="F35">
        <f>SQRT(Constants!$B$8*Constants!$B$6*Cruise!C35)</f>
        <v>302.7261909713132</v>
      </c>
      <c r="G35" s="5">
        <v>290</v>
      </c>
      <c r="H35">
        <f>SQRT(5*((Constants!$B$3/Cruise!E35*((1+0.2*(Cruise!G35/661.5)^2)^3.5-1)+1)^0.286-1))</f>
        <v>0.69620327326485065</v>
      </c>
      <c r="I35">
        <f t="shared" si="6"/>
        <v>210.75896505722852</v>
      </c>
      <c r="J35">
        <f>I35/Constants!$B$9</f>
        <v>409.68300739677886</v>
      </c>
      <c r="K35">
        <f>2*B35*Constants!$B$7/(Cruise!E35*Cruise!$B$2*Cruise!I35^2)</f>
        <v>0.39264936849739018</v>
      </c>
      <c r="L35" s="5">
        <v>0.02</v>
      </c>
      <c r="M35">
        <f t="shared" si="7"/>
        <v>2.6491396520989266E-2</v>
      </c>
      <c r="N35">
        <f>0.5*E35*Cruise!I35^2*Cruise!$B$2*Cruise!M35</f>
        <v>228474.94017980326</v>
      </c>
      <c r="O35" s="2">
        <f t="shared" si="0"/>
        <v>57118.735044950816</v>
      </c>
      <c r="P35" s="2">
        <f t="shared" si="1"/>
        <v>228474.94017980326</v>
      </c>
      <c r="Q35" s="2">
        <f>(P35-N35)*I35/B35/Constants!$B$7</f>
        <v>0</v>
      </c>
      <c r="R35" s="2">
        <f t="shared" si="8"/>
        <v>0</v>
      </c>
      <c r="S35" s="2">
        <f>P35*$B$1*$B$12/Constants!$B$7</f>
        <v>447.16807863937032</v>
      </c>
      <c r="T35" s="10">
        <f t="shared" si="9"/>
        <v>25291.075806867422</v>
      </c>
      <c r="U35" s="10">
        <f t="shared" si="10"/>
        <v>344751.90035371884</v>
      </c>
      <c r="V35" s="10">
        <f t="shared" si="11"/>
        <v>505821.51613734866</v>
      </c>
      <c r="W35" s="7">
        <f t="shared" si="12"/>
        <v>9249</v>
      </c>
      <c r="X35">
        <f t="shared" si="2"/>
        <v>2400</v>
      </c>
      <c r="Y35" s="10">
        <f t="shared" si="3"/>
        <v>25151.90035371884</v>
      </c>
    </row>
    <row r="36" spans="1:25" x14ac:dyDescent="0.2">
      <c r="A36" s="7">
        <f t="shared" si="4"/>
        <v>9249</v>
      </c>
      <c r="B36" s="10">
        <f t="shared" si="5"/>
        <v>344751.90035371884</v>
      </c>
      <c r="C36">
        <f>IF(A36&lt;=11000,A36*Constants!$B$2+Constants!$B$1,216.7)</f>
        <v>228.08150000000001</v>
      </c>
      <c r="D36">
        <f>IF(A36&lt;=11000, Constants!$B$4*(1-0.0065*A36/Constants!$B$1)^5.2561, 22632*EXP(9.81*(11000-A36)/Constants!$B$6/C36))</f>
        <v>29626.22177852504</v>
      </c>
      <c r="E36">
        <f>D36/(Constants!$B$6*Cruise!C36)</f>
        <v>0.45258933137370166</v>
      </c>
      <c r="F36">
        <f>SQRT(Constants!$B$8*Constants!$B$6*Cruise!C36)</f>
        <v>302.7261909713132</v>
      </c>
      <c r="G36" s="5">
        <v>290</v>
      </c>
      <c r="H36">
        <f>SQRT(5*((Constants!$B$3/Cruise!E36*((1+0.2*(Cruise!G36/661.5)^2)^3.5-1)+1)^0.286-1))</f>
        <v>0.69620327326485065</v>
      </c>
      <c r="I36">
        <f t="shared" si="6"/>
        <v>210.75896505722852</v>
      </c>
      <c r="J36">
        <f>I36/Constants!$B$9</f>
        <v>409.68300739677886</v>
      </c>
      <c r="K36">
        <f>2*B36*Constants!$B$7/(Cruise!E36*Cruise!$B$2*Cruise!I36^2)</f>
        <v>0.39214073368418717</v>
      </c>
      <c r="L36" s="5">
        <v>0.02</v>
      </c>
      <c r="M36">
        <f t="shared" si="7"/>
        <v>2.6474589608810949E-2</v>
      </c>
      <c r="N36">
        <f>0.5*E36*Cruise!I36^2*Cruise!$B$2*Cruise!M36</f>
        <v>228329.98903494739</v>
      </c>
      <c r="O36" s="2">
        <f t="shared" si="0"/>
        <v>57082.497258736847</v>
      </c>
      <c r="P36" s="2">
        <f t="shared" si="1"/>
        <v>228329.98903494739</v>
      </c>
      <c r="Q36" s="2">
        <f>(P36-N36)*I36/B36/Constants!$B$7</f>
        <v>0</v>
      </c>
      <c r="R36" s="2">
        <f t="shared" si="8"/>
        <v>0</v>
      </c>
      <c r="S36" s="2">
        <f>P36*$B$1*$B$12/Constants!$B$7</f>
        <v>446.88438220907136</v>
      </c>
      <c r="T36" s="10">
        <f t="shared" si="9"/>
        <v>25291.075806867422</v>
      </c>
      <c r="U36" s="10">
        <f t="shared" si="10"/>
        <v>344305.01597150974</v>
      </c>
      <c r="V36" s="10">
        <f t="shared" si="11"/>
        <v>531112.59194421605</v>
      </c>
      <c r="W36" s="7">
        <f t="shared" si="12"/>
        <v>9249</v>
      </c>
      <c r="X36">
        <f t="shared" si="2"/>
        <v>2520</v>
      </c>
      <c r="Y36" s="10">
        <f t="shared" si="3"/>
        <v>24705.01597150974</v>
      </c>
    </row>
    <row r="37" spans="1:25" x14ac:dyDescent="0.2">
      <c r="A37" s="7">
        <f t="shared" si="4"/>
        <v>9249</v>
      </c>
      <c r="B37" s="10">
        <f t="shared" si="5"/>
        <v>344305.01597150974</v>
      </c>
      <c r="C37">
        <f>IF(A37&lt;=11000,A37*Constants!$B$2+Constants!$B$1,216.7)</f>
        <v>228.08150000000001</v>
      </c>
      <c r="D37">
        <f>IF(A37&lt;=11000, Constants!$B$4*(1-0.0065*A37/Constants!$B$1)^5.2561, 22632*EXP(9.81*(11000-A37)/Constants!$B$6/C37))</f>
        <v>29626.22177852504</v>
      </c>
      <c r="E37">
        <f>D37/(Constants!$B$6*Cruise!C37)</f>
        <v>0.45258933137370166</v>
      </c>
      <c r="F37">
        <f>SQRT(Constants!$B$8*Constants!$B$6*Cruise!C37)</f>
        <v>302.7261909713132</v>
      </c>
      <c r="G37" s="5">
        <v>290</v>
      </c>
      <c r="H37">
        <f>SQRT(5*((Constants!$B$3/Cruise!E37*((1+0.2*(Cruise!G37/661.5)^2)^3.5-1)+1)^0.286-1))</f>
        <v>0.69620327326485065</v>
      </c>
      <c r="I37">
        <f t="shared" si="6"/>
        <v>210.75896505722852</v>
      </c>
      <c r="J37">
        <f>I37/Constants!$B$9</f>
        <v>409.68300739677886</v>
      </c>
      <c r="K37">
        <f>2*B37*Constants!$B$7/(Cruise!E37*Cruise!$B$2*Cruise!I37^2)</f>
        <v>0.39163242156369793</v>
      </c>
      <c r="L37" s="5">
        <v>0.02</v>
      </c>
      <c r="M37">
        <f t="shared" si="7"/>
        <v>2.6457815124347028E-2</v>
      </c>
      <c r="N37">
        <f>0.5*E37*Cruise!I37^2*Cruise!$B$2*Cruise!M37</f>
        <v>228185.31756278075</v>
      </c>
      <c r="O37" s="2">
        <f t="shared" si="0"/>
        <v>57046.329390695188</v>
      </c>
      <c r="P37" s="2">
        <f t="shared" si="1"/>
        <v>228185.31756278075</v>
      </c>
      <c r="Q37" s="2">
        <f>(P37-N37)*I37/B37/Constants!$B$7</f>
        <v>0</v>
      </c>
      <c r="R37" s="2">
        <f t="shared" si="8"/>
        <v>0</v>
      </c>
      <c r="S37" s="2">
        <f>P37*$B$1*$B$12/Constants!$B$7</f>
        <v>446.60123315039658</v>
      </c>
      <c r="T37" s="10">
        <f t="shared" si="9"/>
        <v>25291.075806867422</v>
      </c>
      <c r="U37" s="10">
        <f t="shared" si="10"/>
        <v>343858.41473835934</v>
      </c>
      <c r="V37" s="10">
        <f t="shared" si="11"/>
        <v>556403.6677510835</v>
      </c>
      <c r="W37" s="7">
        <f t="shared" si="12"/>
        <v>9249</v>
      </c>
      <c r="X37">
        <f t="shared" si="2"/>
        <v>2640</v>
      </c>
      <c r="Y37" s="10">
        <f t="shared" si="3"/>
        <v>24258.414738359337</v>
      </c>
    </row>
    <row r="38" spans="1:25" x14ac:dyDescent="0.2">
      <c r="A38" s="7">
        <f t="shared" si="4"/>
        <v>9249</v>
      </c>
      <c r="B38" s="10">
        <f t="shared" si="5"/>
        <v>343858.41473835934</v>
      </c>
      <c r="C38">
        <f>IF(A38&lt;=11000,A38*Constants!$B$2+Constants!$B$1,216.7)</f>
        <v>228.08150000000001</v>
      </c>
      <c r="D38">
        <f>IF(A38&lt;=11000, Constants!$B$4*(1-0.0065*A38/Constants!$B$1)^5.2561, 22632*EXP(9.81*(11000-A38)/Constants!$B$6/C38))</f>
        <v>29626.22177852504</v>
      </c>
      <c r="E38">
        <f>D38/(Constants!$B$6*Cruise!C38)</f>
        <v>0.45258933137370166</v>
      </c>
      <c r="F38">
        <f>SQRT(Constants!$B$8*Constants!$B$6*Cruise!C38)</f>
        <v>302.7261909713132</v>
      </c>
      <c r="G38" s="5">
        <v>290</v>
      </c>
      <c r="H38">
        <f>SQRT(5*((Constants!$B$3/Cruise!E38*((1+0.2*(Cruise!G38/661.5)^2)^3.5-1)+1)^0.286-1))</f>
        <v>0.69620327326485065</v>
      </c>
      <c r="I38">
        <f t="shared" si="6"/>
        <v>210.75896505722852</v>
      </c>
      <c r="J38">
        <f>I38/Constants!$B$9</f>
        <v>409.68300739677886</v>
      </c>
      <c r="K38">
        <f>2*B38*Constants!$B$7/(Cruise!E38*Cruise!$B$2*Cruise!I38^2)</f>
        <v>0.3911244315133105</v>
      </c>
      <c r="L38" s="5">
        <v>0.02</v>
      </c>
      <c r="M38">
        <f t="shared" si="7"/>
        <v>2.6441073005653008E-2</v>
      </c>
      <c r="N38">
        <f>0.5*E38*Cruise!I38^2*Cruise!$B$2*Cruise!M38</f>
        <v>228040.92522906334</v>
      </c>
      <c r="O38" s="2">
        <f t="shared" si="0"/>
        <v>57010.231307265836</v>
      </c>
      <c r="P38" s="2">
        <f t="shared" si="1"/>
        <v>228040.92522906334</v>
      </c>
      <c r="Q38" s="2">
        <f>(P38-N38)*I38/B38/Constants!$B$7</f>
        <v>0</v>
      </c>
      <c r="R38" s="2">
        <f t="shared" si="8"/>
        <v>0</v>
      </c>
      <c r="S38" s="2">
        <f>P38*$B$1*$B$12/Constants!$B$7</f>
        <v>446.31863041773863</v>
      </c>
      <c r="T38" s="10">
        <f t="shared" si="9"/>
        <v>25291.075806867422</v>
      </c>
      <c r="U38" s="10">
        <f t="shared" si="10"/>
        <v>343412.09610794159</v>
      </c>
      <c r="V38" s="10">
        <f t="shared" si="11"/>
        <v>581694.74355795095</v>
      </c>
      <c r="W38" s="7">
        <f t="shared" si="12"/>
        <v>9249</v>
      </c>
      <c r="X38">
        <f t="shared" si="2"/>
        <v>2760</v>
      </c>
      <c r="Y38" s="10">
        <f t="shared" si="3"/>
        <v>23812.096107941587</v>
      </c>
    </row>
    <row r="39" spans="1:25" x14ac:dyDescent="0.2">
      <c r="A39" s="7">
        <f t="shared" si="4"/>
        <v>9249</v>
      </c>
      <c r="B39" s="10">
        <f t="shared" si="5"/>
        <v>343412.09610794159</v>
      </c>
      <c r="C39">
        <f>IF(A39&lt;=11000,A39*Constants!$B$2+Constants!$B$1,216.7)</f>
        <v>228.08150000000001</v>
      </c>
      <c r="D39">
        <f>IF(A39&lt;=11000, Constants!$B$4*(1-0.0065*A39/Constants!$B$1)^5.2561, 22632*EXP(9.81*(11000-A39)/Constants!$B$6/C39))</f>
        <v>29626.22177852504</v>
      </c>
      <c r="E39">
        <f>D39/(Constants!$B$6*Cruise!C39)</f>
        <v>0.45258933137370166</v>
      </c>
      <c r="F39">
        <f>SQRT(Constants!$B$8*Constants!$B$6*Cruise!C39)</f>
        <v>302.7261909713132</v>
      </c>
      <c r="G39" s="5">
        <v>290</v>
      </c>
      <c r="H39">
        <f>SQRT(5*((Constants!$B$3/Cruise!E39*((1+0.2*(Cruise!G39/661.5)^2)^3.5-1)+1)^0.286-1))</f>
        <v>0.69620327326485065</v>
      </c>
      <c r="I39">
        <f t="shared" si="6"/>
        <v>210.75896505722852</v>
      </c>
      <c r="J39">
        <f>I39/Constants!$B$9</f>
        <v>409.68300739677886</v>
      </c>
      <c r="K39">
        <f>2*B39*Constants!$B$7/(Cruise!E39*Cruise!$B$2*Cruise!I39^2)</f>
        <v>0.39061676291160197</v>
      </c>
      <c r="L39" s="5">
        <v>0.02</v>
      </c>
      <c r="M39">
        <f t="shared" si="7"/>
        <v>2.6424363190956264E-2</v>
      </c>
      <c r="N39">
        <f>0.5*E39*Cruise!I39^2*Cruise!$B$2*Cruise!M39</f>
        <v>227896.81150103736</v>
      </c>
      <c r="O39" s="2">
        <f t="shared" si="0"/>
        <v>56974.20287525934</v>
      </c>
      <c r="P39" s="2">
        <f t="shared" si="1"/>
        <v>227896.81150103736</v>
      </c>
      <c r="Q39" s="2">
        <f>(P39-N39)*I39/B39/Constants!$B$7</f>
        <v>0</v>
      </c>
      <c r="R39" s="2">
        <f t="shared" si="8"/>
        <v>0</v>
      </c>
      <c r="S39" s="2">
        <f>P39*$B$1*$B$12/Constants!$B$7</f>
        <v>446.03657296839117</v>
      </c>
      <c r="T39" s="10">
        <f t="shared" si="9"/>
        <v>25291.075806867422</v>
      </c>
      <c r="U39" s="10">
        <f t="shared" si="10"/>
        <v>342966.05953497317</v>
      </c>
      <c r="V39" s="10">
        <f t="shared" si="11"/>
        <v>606985.8193648184</v>
      </c>
      <c r="W39" s="7">
        <f t="shared" si="12"/>
        <v>9249</v>
      </c>
      <c r="X39">
        <f t="shared" si="2"/>
        <v>2880</v>
      </c>
      <c r="Y39" s="10">
        <f t="shared" si="3"/>
        <v>23366.059534973174</v>
      </c>
    </row>
    <row r="40" spans="1:25" x14ac:dyDescent="0.2">
      <c r="A40" s="7">
        <f t="shared" si="4"/>
        <v>9249</v>
      </c>
      <c r="B40" s="10">
        <f t="shared" si="5"/>
        <v>342966.05953497317</v>
      </c>
      <c r="C40">
        <f>IF(A40&lt;=11000,A40*Constants!$B$2+Constants!$B$1,216.7)</f>
        <v>228.08150000000001</v>
      </c>
      <c r="D40">
        <f>IF(A40&lt;=11000, Constants!$B$4*(1-0.0065*A40/Constants!$B$1)^5.2561, 22632*EXP(9.81*(11000-A40)/Constants!$B$6/C40))</f>
        <v>29626.22177852504</v>
      </c>
      <c r="E40">
        <f>D40/(Constants!$B$6*Cruise!C40)</f>
        <v>0.45258933137370166</v>
      </c>
      <c r="F40">
        <f>SQRT(Constants!$B$8*Constants!$B$6*Cruise!C40)</f>
        <v>302.7261909713132</v>
      </c>
      <c r="G40" s="5">
        <v>290</v>
      </c>
      <c r="H40">
        <f>SQRT(5*((Constants!$B$3/Cruise!E40*((1+0.2*(Cruise!G40/661.5)^2)^3.5-1)+1)^0.286-1))</f>
        <v>0.69620327326485065</v>
      </c>
      <c r="I40">
        <f t="shared" si="6"/>
        <v>210.75896505722852</v>
      </c>
      <c r="J40">
        <f>I40/Constants!$B$9</f>
        <v>409.68300739677886</v>
      </c>
      <c r="K40">
        <f>2*B40*Constants!$B$7/(Cruise!E40*Cruise!$B$2*Cruise!I40^2)</f>
        <v>0.39010941513833558</v>
      </c>
      <c r="L40" s="5">
        <v>0.02</v>
      </c>
      <c r="M40">
        <f t="shared" si="7"/>
        <v>2.6407685618655551E-2</v>
      </c>
      <c r="N40">
        <f>0.5*E40*Cruise!I40^2*Cruise!$B$2*Cruise!M40</f>
        <v>227752.97584742313</v>
      </c>
      <c r="O40" s="2">
        <f t="shared" si="0"/>
        <v>56938.243961855784</v>
      </c>
      <c r="P40" s="2">
        <f t="shared" si="1"/>
        <v>227752.97584742313</v>
      </c>
      <c r="Q40" s="2">
        <f>(P40-N40)*I40/B40/Constants!$B$7</f>
        <v>0</v>
      </c>
      <c r="R40" s="2">
        <f t="shared" si="8"/>
        <v>0</v>
      </c>
      <c r="S40" s="2">
        <f>P40*$B$1*$B$12/Constants!$B$7</f>
        <v>445.75505976254067</v>
      </c>
      <c r="T40" s="10">
        <f t="shared" si="9"/>
        <v>25291.075806867422</v>
      </c>
      <c r="U40" s="10">
        <f t="shared" si="10"/>
        <v>342520.30447521061</v>
      </c>
      <c r="V40" s="10">
        <f t="shared" si="11"/>
        <v>632276.89517168584</v>
      </c>
      <c r="W40" s="7">
        <f t="shared" si="12"/>
        <v>9249</v>
      </c>
      <c r="X40">
        <f t="shared" si="2"/>
        <v>3000</v>
      </c>
      <c r="Y40" s="10">
        <f t="shared" si="3"/>
        <v>22920.304475210607</v>
      </c>
    </row>
    <row r="41" spans="1:25" x14ac:dyDescent="0.2">
      <c r="A41" s="7">
        <f t="shared" si="4"/>
        <v>9249</v>
      </c>
      <c r="B41" s="10">
        <f t="shared" si="5"/>
        <v>342520.30447521061</v>
      </c>
      <c r="C41">
        <f>IF(A41&lt;=11000,A41*Constants!$B$2+Constants!$B$1,216.7)</f>
        <v>228.08150000000001</v>
      </c>
      <c r="D41">
        <f>IF(A41&lt;=11000, Constants!$B$4*(1-0.0065*A41/Constants!$B$1)^5.2561, 22632*EXP(9.81*(11000-A41)/Constants!$B$6/C41))</f>
        <v>29626.22177852504</v>
      </c>
      <c r="E41">
        <f>D41/(Constants!$B$6*Cruise!C41)</f>
        <v>0.45258933137370166</v>
      </c>
      <c r="F41">
        <f>SQRT(Constants!$B$8*Constants!$B$6*Cruise!C41)</f>
        <v>302.7261909713132</v>
      </c>
      <c r="G41" s="5">
        <v>290</v>
      </c>
      <c r="H41">
        <f>SQRT(5*((Constants!$B$3/Cruise!E41*((1+0.2*(Cruise!G41/661.5)^2)^3.5-1)+1)^0.286-1))</f>
        <v>0.69620327326485065</v>
      </c>
      <c r="I41">
        <f t="shared" si="6"/>
        <v>210.75896505722852</v>
      </c>
      <c r="J41">
        <f>I41/Constants!$B$9</f>
        <v>409.68300739677886</v>
      </c>
      <c r="K41">
        <f>2*B41*Constants!$B$7/(Cruise!E41*Cruise!$B$2*Cruise!I41^2)</f>
        <v>0.38960238757445731</v>
      </c>
      <c r="L41" s="5">
        <v>0.02</v>
      </c>
      <c r="M41">
        <f t="shared" si="7"/>
        <v>2.6391040227320452E-2</v>
      </c>
      <c r="N41">
        <f>0.5*E41*Cruise!I41^2*Cruise!$B$2*Cruise!M41</f>
        <v>227609.41773841431</v>
      </c>
      <c r="O41" s="2">
        <f t="shared" si="0"/>
        <v>56902.354434603578</v>
      </c>
      <c r="P41" s="2">
        <f t="shared" si="1"/>
        <v>227609.41773841431</v>
      </c>
      <c r="Q41" s="2">
        <f>(P41-N41)*I41/B41/Constants!$B$7</f>
        <v>0</v>
      </c>
      <c r="R41" s="2">
        <f t="shared" si="8"/>
        <v>0</v>
      </c>
      <c r="S41" s="2">
        <f>P41*$B$1*$B$12/Constants!$B$7</f>
        <v>445.47408976325738</v>
      </c>
      <c r="T41" s="10">
        <f t="shared" si="9"/>
        <v>25291.075806867422</v>
      </c>
      <c r="U41" s="10">
        <f t="shared" si="10"/>
        <v>342074.83038544736</v>
      </c>
      <c r="V41" s="10">
        <f t="shared" si="11"/>
        <v>657567.97097855329</v>
      </c>
      <c r="W41" s="7">
        <f t="shared" si="12"/>
        <v>9249</v>
      </c>
      <c r="X41">
        <f t="shared" si="2"/>
        <v>3120</v>
      </c>
      <c r="Y41" s="10">
        <f t="shared" si="3"/>
        <v>22474.830385447363</v>
      </c>
    </row>
    <row r="42" spans="1:25" x14ac:dyDescent="0.2">
      <c r="A42" s="7">
        <f t="shared" si="4"/>
        <v>9249</v>
      </c>
      <c r="B42" s="10">
        <f t="shared" si="5"/>
        <v>342074.83038544736</v>
      </c>
      <c r="C42">
        <f>IF(A42&lt;=11000,A42*Constants!$B$2+Constants!$B$1,216.7)</f>
        <v>228.08150000000001</v>
      </c>
      <c r="D42">
        <f>IF(A42&lt;=11000, Constants!$B$4*(1-0.0065*A42/Constants!$B$1)^5.2561, 22632*EXP(9.81*(11000-A42)/Constants!$B$6/C42))</f>
        <v>29626.22177852504</v>
      </c>
      <c r="E42">
        <f>D42/(Constants!$B$6*Cruise!C42)</f>
        <v>0.45258933137370166</v>
      </c>
      <c r="F42">
        <f>SQRT(Constants!$B$8*Constants!$B$6*Cruise!C42)</f>
        <v>302.7261909713132</v>
      </c>
      <c r="G42" s="5">
        <v>290</v>
      </c>
      <c r="H42">
        <f>SQRT(5*((Constants!$B$3/Cruise!E42*((1+0.2*(Cruise!G42/661.5)^2)^3.5-1)+1)^0.286-1))</f>
        <v>0.69620327326485065</v>
      </c>
      <c r="I42">
        <f t="shared" si="6"/>
        <v>210.75896505722852</v>
      </c>
      <c r="J42">
        <f>I42/Constants!$B$9</f>
        <v>409.68300739677886</v>
      </c>
      <c r="K42">
        <f>2*B42*Constants!$B$7/(Cruise!E42*Cruise!$B$2*Cruise!I42^2)</f>
        <v>0.38909567960209279</v>
      </c>
      <c r="L42" s="5">
        <v>0.02</v>
      </c>
      <c r="M42">
        <f t="shared" si="7"/>
        <v>2.6374426955690866E-2</v>
      </c>
      <c r="N42">
        <f>0.5*E42*Cruise!I42^2*Cruise!$B$2*Cruise!M42</f>
        <v>227466.1366456734</v>
      </c>
      <c r="O42" s="2">
        <f t="shared" si="0"/>
        <v>56866.534161418349</v>
      </c>
      <c r="P42" s="2">
        <f t="shared" si="1"/>
        <v>227466.1366456734</v>
      </c>
      <c r="Q42" s="2">
        <f>(P42-N42)*I42/B42/Constants!$B$7</f>
        <v>0</v>
      </c>
      <c r="R42" s="2">
        <f t="shared" si="8"/>
        <v>0</v>
      </c>
      <c r="S42" s="2">
        <f>P42*$B$1*$B$12/Constants!$B$7</f>
        <v>445.19366193648619</v>
      </c>
      <c r="T42" s="10">
        <f t="shared" si="9"/>
        <v>25291.075806867422</v>
      </c>
      <c r="U42" s="10">
        <f t="shared" si="10"/>
        <v>341629.63672351086</v>
      </c>
      <c r="V42" s="10">
        <f t="shared" si="11"/>
        <v>682859.04678542074</v>
      </c>
      <c r="W42" s="7">
        <f t="shared" si="12"/>
        <v>9249</v>
      </c>
      <c r="X42">
        <f t="shared" si="2"/>
        <v>3240</v>
      </c>
      <c r="Y42" s="10">
        <f t="shared" si="3"/>
        <v>22029.636723510863</v>
      </c>
    </row>
    <row r="43" spans="1:25" x14ac:dyDescent="0.2">
      <c r="A43" s="7">
        <f t="shared" si="4"/>
        <v>9249</v>
      </c>
      <c r="B43" s="10">
        <f t="shared" si="5"/>
        <v>341629.63672351086</v>
      </c>
      <c r="C43">
        <f>IF(A43&lt;=11000,A43*Constants!$B$2+Constants!$B$1,216.7)</f>
        <v>228.08150000000001</v>
      </c>
      <c r="D43">
        <f>IF(A43&lt;=11000, Constants!$B$4*(1-0.0065*A43/Constants!$B$1)^5.2561, 22632*EXP(9.81*(11000-A43)/Constants!$B$6/C43))</f>
        <v>29626.22177852504</v>
      </c>
      <c r="E43">
        <f>D43/(Constants!$B$6*Cruise!C43)</f>
        <v>0.45258933137370166</v>
      </c>
      <c r="F43">
        <f>SQRT(Constants!$B$8*Constants!$B$6*Cruise!C43)</f>
        <v>302.7261909713132</v>
      </c>
      <c r="G43" s="5">
        <v>290</v>
      </c>
      <c r="H43">
        <f>SQRT(5*((Constants!$B$3/Cruise!E43*((1+0.2*(Cruise!G43/661.5)^2)^3.5-1)+1)^0.286-1))</f>
        <v>0.69620327326485065</v>
      </c>
      <c r="I43">
        <f t="shared" si="6"/>
        <v>210.75896505722852</v>
      </c>
      <c r="J43">
        <f>I43/Constants!$B$9</f>
        <v>409.68300739677886</v>
      </c>
      <c r="K43">
        <f>2*B43*Constants!$B$7/(Cruise!E43*Cruise!$B$2*Cruise!I43^2)</f>
        <v>0.3885892906045435</v>
      </c>
      <c r="L43" s="5">
        <v>0.02</v>
      </c>
      <c r="M43">
        <f t="shared" si="7"/>
        <v>2.6357845742676463E-2</v>
      </c>
      <c r="N43">
        <f>0.5*E43*Cruise!I43^2*Cruise!$B$2*Cruise!M43</f>
        <v>227323.13204232708</v>
      </c>
      <c r="O43" s="2">
        <f t="shared" si="0"/>
        <v>56830.78301058177</v>
      </c>
      <c r="P43" s="2">
        <f t="shared" si="1"/>
        <v>227323.13204232708</v>
      </c>
      <c r="Q43" s="2">
        <f>(P43-N43)*I43/B43/Constants!$B$7</f>
        <v>0</v>
      </c>
      <c r="R43" s="2">
        <f t="shared" si="8"/>
        <v>0</v>
      </c>
      <c r="S43" s="2">
        <f>P43*$B$1*$B$12/Constants!$B$7</f>
        <v>444.91377525103775</v>
      </c>
      <c r="T43" s="10">
        <f t="shared" si="9"/>
        <v>25291.075806867422</v>
      </c>
      <c r="U43" s="10">
        <f t="shared" si="10"/>
        <v>341184.72294825985</v>
      </c>
      <c r="V43" s="10">
        <f t="shared" si="11"/>
        <v>708150.12259228819</v>
      </c>
      <c r="W43" s="7">
        <f t="shared" si="12"/>
        <v>9249</v>
      </c>
      <c r="X43">
        <f t="shared" si="2"/>
        <v>3360</v>
      </c>
      <c r="Y43" s="10">
        <f t="shared" si="3"/>
        <v>21584.722948259849</v>
      </c>
    </row>
    <row r="44" spans="1:25" x14ac:dyDescent="0.2">
      <c r="A44" s="7">
        <f t="shared" si="4"/>
        <v>9249</v>
      </c>
      <c r="B44" s="10">
        <f t="shared" si="5"/>
        <v>341184.72294825985</v>
      </c>
      <c r="C44">
        <f>IF(A44&lt;=11000,A44*Constants!$B$2+Constants!$B$1,216.7)</f>
        <v>228.08150000000001</v>
      </c>
      <c r="D44">
        <f>IF(A44&lt;=11000, Constants!$B$4*(1-0.0065*A44/Constants!$B$1)^5.2561, 22632*EXP(9.81*(11000-A44)/Constants!$B$6/C44))</f>
        <v>29626.22177852504</v>
      </c>
      <c r="E44">
        <f>D44/(Constants!$B$6*Cruise!C44)</f>
        <v>0.45258933137370166</v>
      </c>
      <c r="F44">
        <f>SQRT(Constants!$B$8*Constants!$B$6*Cruise!C44)</f>
        <v>302.7261909713132</v>
      </c>
      <c r="G44" s="5">
        <v>290</v>
      </c>
      <c r="H44">
        <f>SQRT(5*((Constants!$B$3/Cruise!E44*((1+0.2*(Cruise!G44/661.5)^2)^3.5-1)+1)^0.286-1))</f>
        <v>0.69620327326485065</v>
      </c>
      <c r="I44">
        <f t="shared" si="6"/>
        <v>210.75896505722852</v>
      </c>
      <c r="J44">
        <f>I44/Constants!$B$9</f>
        <v>409.68300739677886</v>
      </c>
      <c r="K44">
        <f>2*B44*Constants!$B$7/(Cruise!E44*Cruise!$B$2*Cruise!I44^2)</f>
        <v>0.38808321996628414</v>
      </c>
      <c r="L44" s="5">
        <v>0.02</v>
      </c>
      <c r="M44">
        <f t="shared" si="7"/>
        <v>2.6341296527356173E-2</v>
      </c>
      <c r="N44">
        <f>0.5*E44*Cruise!I44^2*Cruise!$B$2*Cruise!M44</f>
        <v>227180.40340296182</v>
      </c>
      <c r="O44" s="2">
        <f t="shared" si="0"/>
        <v>56795.100850740455</v>
      </c>
      <c r="P44" s="2">
        <f t="shared" si="1"/>
        <v>227180.40340296182</v>
      </c>
      <c r="Q44" s="2">
        <f>(P44-N44)*I44/B44/Constants!$B$7</f>
        <v>0</v>
      </c>
      <c r="R44" s="2">
        <f t="shared" si="8"/>
        <v>0</v>
      </c>
      <c r="S44" s="2">
        <f>P44*$B$1*$B$12/Constants!$B$7</f>
        <v>444.63442867857975</v>
      </c>
      <c r="T44" s="10">
        <f t="shared" si="9"/>
        <v>25291.075806867422</v>
      </c>
      <c r="U44" s="10">
        <f t="shared" si="10"/>
        <v>340740.08851958124</v>
      </c>
      <c r="V44" s="10">
        <f t="shared" si="11"/>
        <v>733441.19839915563</v>
      </c>
      <c r="W44" s="7">
        <f t="shared" si="12"/>
        <v>9249</v>
      </c>
      <c r="X44">
        <f t="shared" si="2"/>
        <v>3480</v>
      </c>
      <c r="Y44" s="10">
        <f t="shared" si="3"/>
        <v>21140.088519581244</v>
      </c>
    </row>
    <row r="45" spans="1:25" x14ac:dyDescent="0.2">
      <c r="A45" s="7">
        <f t="shared" si="4"/>
        <v>9249</v>
      </c>
      <c r="B45" s="10">
        <f t="shared" si="5"/>
        <v>340740.08851958124</v>
      </c>
      <c r="C45">
        <f>IF(A45&lt;=11000,A45*Constants!$B$2+Constants!$B$1,216.7)</f>
        <v>228.08150000000001</v>
      </c>
      <c r="D45">
        <f>IF(A45&lt;=11000, Constants!$B$4*(1-0.0065*A45/Constants!$B$1)^5.2561, 22632*EXP(9.81*(11000-A45)/Constants!$B$6/C45))</f>
        <v>29626.22177852504</v>
      </c>
      <c r="E45">
        <f>D45/(Constants!$B$6*Cruise!C45)</f>
        <v>0.45258933137370166</v>
      </c>
      <c r="F45">
        <f>SQRT(Constants!$B$8*Constants!$B$6*Cruise!C45)</f>
        <v>302.7261909713132</v>
      </c>
      <c r="G45" s="5">
        <v>290</v>
      </c>
      <c r="H45">
        <f>SQRT(5*((Constants!$B$3/Cruise!E45*((1+0.2*(Cruise!G45/661.5)^2)^3.5-1)+1)^0.286-1))</f>
        <v>0.69620327326485065</v>
      </c>
      <c r="I45">
        <f t="shared" si="6"/>
        <v>210.75896505722852</v>
      </c>
      <c r="J45">
        <f>I45/Constants!$B$9</f>
        <v>409.68300739677886</v>
      </c>
      <c r="K45">
        <f>2*B45*Constants!$B$7/(Cruise!E45*Cruise!$B$2*Cruise!I45^2)</f>
        <v>0.38757746707295887</v>
      </c>
      <c r="L45" s="5">
        <v>0.02</v>
      </c>
      <c r="M45">
        <f t="shared" si="7"/>
        <v>2.6324779248977668E-2</v>
      </c>
      <c r="N45">
        <f>0.5*E45*Cruise!I45^2*Cruise!$B$2*Cruise!M45</f>
        <v>227037.95020361946</v>
      </c>
      <c r="O45" s="2">
        <f t="shared" si="0"/>
        <v>56759.487550904865</v>
      </c>
      <c r="P45" s="2">
        <f t="shared" si="1"/>
        <v>227037.95020361946</v>
      </c>
      <c r="Q45" s="2">
        <f>(P45-N45)*I45/B45/Constants!$B$7</f>
        <v>0</v>
      </c>
      <c r="R45" s="2">
        <f t="shared" si="8"/>
        <v>0</v>
      </c>
      <c r="S45" s="2">
        <f>P45*$B$1*$B$12/Constants!$B$7</f>
        <v>444.35562119362828</v>
      </c>
      <c r="T45" s="10">
        <f t="shared" si="9"/>
        <v>25291.075806867422</v>
      </c>
      <c r="U45" s="10">
        <f t="shared" si="10"/>
        <v>340295.73289838759</v>
      </c>
      <c r="V45" s="10">
        <f t="shared" si="11"/>
        <v>758732.27420602308</v>
      </c>
      <c r="W45" s="7">
        <f t="shared" si="12"/>
        <v>9249</v>
      </c>
      <c r="X45">
        <f t="shared" si="2"/>
        <v>3600</v>
      </c>
      <c r="Y45" s="10">
        <f t="shared" si="3"/>
        <v>20695.732898387592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5"/>
  <sheetViews>
    <sheetView tabSelected="1" workbookViewId="0">
      <selection activeCell="X31" sqref="X31"/>
    </sheetView>
  </sheetViews>
  <sheetFormatPr baseColWidth="10" defaultColWidth="8.83203125" defaultRowHeight="15" x14ac:dyDescent="0.2"/>
  <cols>
    <col min="1" max="1" width="14" customWidth="1"/>
    <col min="2" max="2" width="11.33203125" customWidth="1"/>
    <col min="3" max="3" width="11.5" customWidth="1"/>
    <col min="4" max="4" width="11.83203125" customWidth="1"/>
    <col min="5" max="5" width="11.33203125" customWidth="1"/>
    <col min="6" max="6" width="13.5" customWidth="1"/>
    <col min="7" max="7" width="6.83203125" customWidth="1"/>
    <col min="8" max="10" width="13.5" customWidth="1"/>
    <col min="11" max="11" width="11.6640625" customWidth="1"/>
    <col min="12" max="12" width="10.83203125" customWidth="1"/>
    <col min="13" max="13" width="12.5" customWidth="1"/>
    <col min="16" max="16" width="10.5" customWidth="1"/>
    <col min="17" max="17" width="9" customWidth="1"/>
    <col min="18" max="18" width="12" customWidth="1"/>
    <col min="19" max="19" width="9.33203125" customWidth="1"/>
    <col min="20" max="20" width="10.1640625" customWidth="1"/>
    <col min="21" max="21" width="11.5" customWidth="1"/>
    <col min="22" max="22" width="17.5" customWidth="1"/>
    <col min="23" max="23" width="16.83203125" customWidth="1"/>
    <col min="25" max="25" width="12.6640625" bestFit="1" customWidth="1"/>
  </cols>
  <sheetData>
    <row r="1" spans="1:25" x14ac:dyDescent="0.2">
      <c r="A1" t="s">
        <v>63</v>
      </c>
      <c r="B1">
        <v>60</v>
      </c>
      <c r="C1" t="s">
        <v>64</v>
      </c>
    </row>
    <row r="2" spans="1:25" x14ac:dyDescent="0.2">
      <c r="A2" t="s">
        <v>2</v>
      </c>
      <c r="B2">
        <v>858</v>
      </c>
      <c r="C2" s="1" t="s">
        <v>19</v>
      </c>
    </row>
    <row r="3" spans="1:25" x14ac:dyDescent="0.2">
      <c r="A3" t="s">
        <v>5</v>
      </c>
      <c r="B3">
        <v>9</v>
      </c>
    </row>
    <row r="4" spans="1:25" x14ac:dyDescent="0.2">
      <c r="A4" t="s">
        <v>26</v>
      </c>
      <c r="B4">
        <v>0.84</v>
      </c>
    </row>
    <row r="5" spans="1:25" x14ac:dyDescent="0.2">
      <c r="A5" t="s">
        <v>20</v>
      </c>
      <c r="B5" s="2">
        <v>276800</v>
      </c>
      <c r="C5" t="s">
        <v>21</v>
      </c>
    </row>
    <row r="6" spans="1:25" x14ac:dyDescent="0.2">
      <c r="A6" t="s">
        <v>22</v>
      </c>
      <c r="B6">
        <v>42800</v>
      </c>
      <c r="C6" t="s">
        <v>25</v>
      </c>
    </row>
    <row r="7" spans="1:25" x14ac:dyDescent="0.2">
      <c r="A7" t="s">
        <v>23</v>
      </c>
      <c r="B7">
        <v>35186</v>
      </c>
      <c r="C7" t="s">
        <v>24</v>
      </c>
      <c r="D7" t="s">
        <v>23</v>
      </c>
      <c r="E7">
        <f>B7*0.804</f>
        <v>28289.544000000002</v>
      </c>
      <c r="F7" t="s">
        <v>21</v>
      </c>
      <c r="H7" t="s">
        <v>23</v>
      </c>
      <c r="I7" s="2">
        <v>28290</v>
      </c>
      <c r="J7" t="s">
        <v>21</v>
      </c>
      <c r="K7" s="1" t="s">
        <v>85</v>
      </c>
      <c r="L7" t="s">
        <v>23</v>
      </c>
      <c r="M7">
        <f>I7/0.804</f>
        <v>35186.567164179105</v>
      </c>
      <c r="N7" t="s">
        <v>24</v>
      </c>
    </row>
    <row r="8" spans="1:25" x14ac:dyDescent="0.2">
      <c r="A8" t="s">
        <v>7</v>
      </c>
      <c r="B8">
        <v>0</v>
      </c>
      <c r="C8">
        <v>0.9</v>
      </c>
      <c r="D8" t="s">
        <v>18</v>
      </c>
    </row>
    <row r="9" spans="1:25" x14ac:dyDescent="0.2">
      <c r="B9" s="2">
        <v>338000</v>
      </c>
      <c r="C9" s="2">
        <v>180000</v>
      </c>
      <c r="D9" t="s">
        <v>17</v>
      </c>
    </row>
    <row r="10" spans="1:25" x14ac:dyDescent="0.2">
      <c r="A10" t="s">
        <v>60</v>
      </c>
      <c r="B10" s="2">
        <f>(B9-C9)/C8</f>
        <v>175555.55555555556</v>
      </c>
      <c r="C10" s="2"/>
    </row>
    <row r="11" spans="1:25" x14ac:dyDescent="0.2">
      <c r="A11" t="s">
        <v>59</v>
      </c>
      <c r="B11" s="2">
        <v>0.96</v>
      </c>
      <c r="C11" s="2"/>
    </row>
    <row r="12" spans="1:25" x14ac:dyDescent="0.2">
      <c r="A12" t="s">
        <v>15</v>
      </c>
      <c r="B12" s="2">
        <v>1.6000000000000001E-4</v>
      </c>
      <c r="C12" t="s">
        <v>65</v>
      </c>
    </row>
    <row r="13" spans="1:25" x14ac:dyDescent="0.2">
      <c r="A13" t="s">
        <v>61</v>
      </c>
      <c r="B13">
        <v>4</v>
      </c>
    </row>
    <row r="15" spans="1:25" x14ac:dyDescent="0.2">
      <c r="A15" t="s">
        <v>1</v>
      </c>
      <c r="B15" t="s">
        <v>0</v>
      </c>
      <c r="C15" t="s">
        <v>47</v>
      </c>
      <c r="D15" t="s">
        <v>51</v>
      </c>
      <c r="E15" t="s">
        <v>13</v>
      </c>
      <c r="F15" t="s">
        <v>14</v>
      </c>
      <c r="G15" t="s">
        <v>55</v>
      </c>
      <c r="H15" t="s">
        <v>54</v>
      </c>
      <c r="I15" t="s">
        <v>57</v>
      </c>
      <c r="J15" t="s">
        <v>58</v>
      </c>
      <c r="K15" t="s">
        <v>4</v>
      </c>
      <c r="L15" t="s">
        <v>27</v>
      </c>
      <c r="M15" t="s">
        <v>3</v>
      </c>
      <c r="N15" t="s">
        <v>6</v>
      </c>
      <c r="O15" t="s">
        <v>7</v>
      </c>
      <c r="P15" t="s">
        <v>62</v>
      </c>
      <c r="Q15" s="1" t="s">
        <v>8</v>
      </c>
      <c r="R15" s="1" t="s">
        <v>66</v>
      </c>
      <c r="S15" t="s">
        <v>9</v>
      </c>
      <c r="T15" t="s">
        <v>10</v>
      </c>
      <c r="U15" t="s">
        <v>11</v>
      </c>
      <c r="V15" t="s">
        <v>12</v>
      </c>
      <c r="W15" t="s">
        <v>28</v>
      </c>
      <c r="X15" t="s">
        <v>67</v>
      </c>
      <c r="Y15" t="s">
        <v>84</v>
      </c>
    </row>
    <row r="16" spans="1:25" x14ac:dyDescent="0.2">
      <c r="A16" s="5">
        <v>9150.1956986553396</v>
      </c>
      <c r="B16" s="6">
        <f>B5+B6+E7</f>
        <v>347889.54399999999</v>
      </c>
      <c r="C16">
        <f>IF(A16&lt;=11000,A16*Constants!$B$2+Constants!$B$1,216.7)</f>
        <v>228.72372795874028</v>
      </c>
      <c r="D16">
        <f>IF(A16&lt;=11000, Constants!$B$4*(1-0.0065*A16/Constants!$B$1)^5.2561, 22632*EXP(9.81*(11000-A16)/Constants!$B$6/C16))</f>
        <v>30067.326327570223</v>
      </c>
      <c r="E16">
        <f>D16/(Constants!$B$6*Descend!C16)</f>
        <v>0.45803819379356442</v>
      </c>
      <c r="F16">
        <f>SQRT(Constants!$B$8*Constants!$B$6*Descend!C16)</f>
        <v>303.15209696424967</v>
      </c>
      <c r="G16" s="5">
        <v>290</v>
      </c>
      <c r="H16">
        <f>SQRT(5*((Constants!$B$3/Descend!E16*((1+0.2*(Descend!G16/661.5)^2)^3.5-1)+1)^0.286-1))</f>
        <v>0.69248483058960864</v>
      </c>
      <c r="I16">
        <f>H16*F16</f>
        <v>209.92822850917304</v>
      </c>
      <c r="J16">
        <f>I16/Constants!$B$9</f>
        <v>408.06818333807576</v>
      </c>
      <c r="K16">
        <f>2*B16*Constants!$B$7/(Descend!E16*Descend!$B$2*Descend!I16^2)</f>
        <v>0.39410297731598837</v>
      </c>
      <c r="L16" s="5">
        <v>0.02</v>
      </c>
      <c r="M16">
        <f>K16^2/(PI()*$B$3*$B$4)+L16</f>
        <v>2.6539548476309772E-2</v>
      </c>
      <c r="N16">
        <f>0.5*E16*Descend!I16^2*Descend!$B$2*Descend!M16</f>
        <v>229823.37464547378</v>
      </c>
      <c r="O16" s="2">
        <f>0.1*($B$9-$B$10*H16)*(E16/Constants!$B$3)^$B$11</f>
        <v>8417.3100496047355</v>
      </c>
      <c r="P16" s="2">
        <f>IF(O16&gt;0, O16*$B$13, 0)</f>
        <v>33669.240198418942</v>
      </c>
      <c r="Q16" s="2">
        <f>(P16-N16)*I16/B16/Constants!$B$7</f>
        <v>-12.06585005709281</v>
      </c>
      <c r="R16" s="2">
        <f t="shared" ref="R16:R45" si="0">ASIN(Q16/I16)</f>
        <v>-5.7507764876151266E-2</v>
      </c>
      <c r="S16" s="2">
        <f>P16*$B$1*$B$12/Constants!$B$7</f>
        <v>32.948491937290704</v>
      </c>
      <c r="T16" s="2">
        <f t="shared" ref="T16:T45" si="1">I16*COS(R16)*$B$1</f>
        <v>12574.871569707486</v>
      </c>
      <c r="U16" s="2">
        <f t="shared" ref="U16:U45" si="2">B16-S16</f>
        <v>347856.59550806269</v>
      </c>
      <c r="V16" s="2">
        <f>T16</f>
        <v>12574.871569707486</v>
      </c>
      <c r="W16" s="7">
        <f t="shared" ref="W16:W45" si="3">A16+Q16*$B$1</f>
        <v>8426.2446952297705</v>
      </c>
      <c r="X16">
        <f>$B$1</f>
        <v>60</v>
      </c>
      <c r="Y16" s="10">
        <f>$E$7-B16+U16</f>
        <v>28256.595508062688</v>
      </c>
    </row>
    <row r="17" spans="1:25" x14ac:dyDescent="0.2">
      <c r="A17" s="7">
        <f>W16</f>
        <v>8426.2446952297705</v>
      </c>
      <c r="B17" s="2">
        <f>U16</f>
        <v>347856.59550806269</v>
      </c>
      <c r="C17">
        <f>IF(A17&lt;=11000,A17*Constants!$B$2+Constants!$B$1,216.7)</f>
        <v>233.42940948100647</v>
      </c>
      <c r="D17">
        <f>IF(A17&lt;=11000, Constants!$B$4*(1-0.0065*A17/Constants!$B$1)^5.2561, 22632*EXP(9.81*(11000-A17)/Constants!$B$6/C17))</f>
        <v>33464.2889369267</v>
      </c>
      <c r="E17">
        <f>D17/(Constants!$B$6*Descend!C17)</f>
        <v>0.49950993811792793</v>
      </c>
      <c r="F17">
        <f>SQRT(Constants!$B$8*Constants!$B$6*Descend!C17)</f>
        <v>306.25469258358868</v>
      </c>
      <c r="G17" s="5">
        <v>290</v>
      </c>
      <c r="H17">
        <f>SQRT(5*((Constants!$B$3/Descend!E17*((1+0.2*(Descend!G17/661.5)^2)^3.5-1)+1)^0.286-1))</f>
        <v>0.66602546504847482</v>
      </c>
      <c r="I17">
        <f>H17*F17</f>
        <v>203.97342405126233</v>
      </c>
      <c r="J17">
        <f>I17/Constants!$B$9</f>
        <v>396.49295948881183</v>
      </c>
      <c r="K17">
        <f>2*B17*Constants!$B$7/(Descend!E17*Descend!$B$2*Descend!I17^2)</f>
        <v>0.38275480500043479</v>
      </c>
      <c r="L17" s="5">
        <v>0.02</v>
      </c>
      <c r="M17">
        <f>K17^2/(PI()*$B$3*$B$4)+L17</f>
        <v>2.6168358898043614E-2</v>
      </c>
      <c r="N17">
        <f>0.5*E17*Descend!I17^2*Descend!$B$2*Descend!M17</f>
        <v>233305.55831445678</v>
      </c>
      <c r="O17" s="2">
        <f>0.1*($B$9-$B$10*H17)*(E17/Constants!$B$3)^$B$11</f>
        <v>9343.9906798960492</v>
      </c>
      <c r="P17" s="2">
        <f t="shared" ref="P17:P45" si="4">IF(O17&gt;0, O17*$B$13, 0)</f>
        <v>37375.962719584197</v>
      </c>
      <c r="Q17" s="2">
        <f>(P17-N17)*I17/B17/Constants!$B$7</f>
        <v>-11.711280388609222</v>
      </c>
      <c r="R17" s="2">
        <f t="shared" si="0"/>
        <v>-5.7447309647365732E-2</v>
      </c>
      <c r="S17" s="2">
        <f>P17*$B$1*$B$12/Constants!$B$7</f>
        <v>36.575865658308693</v>
      </c>
      <c r="T17" s="2">
        <f t="shared" si="1"/>
        <v>12218.216443944657</v>
      </c>
      <c r="U17" s="2">
        <f t="shared" si="2"/>
        <v>347820.0196424044</v>
      </c>
      <c r="V17" s="2">
        <f>V16+T17</f>
        <v>24793.088013652145</v>
      </c>
      <c r="W17" s="7">
        <f t="shared" si="3"/>
        <v>7723.5678719132175</v>
      </c>
      <c r="X17">
        <f>X16+$B$1</f>
        <v>120</v>
      </c>
      <c r="Y17" s="10">
        <f>Y16-B17+U17</f>
        <v>28220.019642404397</v>
      </c>
    </row>
    <row r="18" spans="1:25" x14ac:dyDescent="0.2">
      <c r="A18" s="7">
        <f>W17</f>
        <v>7723.5678719132175</v>
      </c>
      <c r="B18" s="2">
        <f>U17</f>
        <v>347820.0196424044</v>
      </c>
      <c r="C18">
        <f>IF(A18&lt;=11000,A18*Constants!$B$2+Constants!$B$1,216.7)</f>
        <v>237.99680883256408</v>
      </c>
      <c r="D18">
        <f>IF(A18&lt;=11000, Constants!$B$4*(1-0.0065*A18/Constants!$B$1)^5.2561, 22632*EXP(9.81*(11000-A18)/Constants!$B$6/C18))</f>
        <v>37052.254587270814</v>
      </c>
      <c r="E18">
        <f>D18/(Constants!$B$6*Descend!C18)</f>
        <v>0.5424523672947843</v>
      </c>
      <c r="F18">
        <f>SQRT(Constants!$B$8*Constants!$B$6*Descend!C18)</f>
        <v>309.23634616410186</v>
      </c>
      <c r="G18" s="5">
        <v>290</v>
      </c>
      <c r="H18">
        <f>SQRT(5*((Constants!$B$3/Descend!E18*((1+0.2*(Descend!G18/661.5)^2)^3.5-1)+1)^0.286-1))</f>
        <v>0.64161441149825305</v>
      </c>
      <c r="I18">
        <f>H18*F18</f>
        <v>198.41049625795029</v>
      </c>
      <c r="J18">
        <f>I18/Constants!$B$9</f>
        <v>385.67948359384167</v>
      </c>
      <c r="K18">
        <f>2*B18*Constants!$B$7/(Descend!E18*Descend!$B$2*Descend!I18^2)</f>
        <v>0.37245636028355883</v>
      </c>
      <c r="L18" s="5">
        <v>0.02</v>
      </c>
      <c r="M18">
        <f>K18^2/(PI()*$B$3*$B$4)+L18</f>
        <v>2.5840891268633946E-2</v>
      </c>
      <c r="N18">
        <f>0.5*E18*Descend!I18^2*Descend!$B$2*Descend!M18</f>
        <v>236731.29638749445</v>
      </c>
      <c r="O18" s="2">
        <f>0.1*($B$9-$B$10*H18)*(E18/Constants!$B$3)^$B$11</f>
        <v>10309.920338039748</v>
      </c>
      <c r="P18" s="2">
        <f t="shared" si="4"/>
        <v>41239.681352158994</v>
      </c>
      <c r="Q18" s="2">
        <f>(P18-N18)*I18/B18/Constants!$B$7</f>
        <v>-11.367610780137891</v>
      </c>
      <c r="R18" s="2">
        <f t="shared" si="0"/>
        <v>-5.7324785190653628E-2</v>
      </c>
      <c r="S18" s="2">
        <f>P18*$B$1*$B$12/Constants!$B$7</f>
        <v>40.356874717709111</v>
      </c>
      <c r="T18" s="2">
        <f t="shared" si="1"/>
        <v>11885.0750448501</v>
      </c>
      <c r="U18" s="2">
        <f t="shared" si="2"/>
        <v>347779.66276768671</v>
      </c>
      <c r="V18" s="2">
        <f>V17+T18</f>
        <v>36678.163058502243</v>
      </c>
      <c r="W18" s="7">
        <f t="shared" si="3"/>
        <v>7041.5112251049441</v>
      </c>
      <c r="X18">
        <f t="shared" ref="X18:X45" si="5">X17+$B$1</f>
        <v>180</v>
      </c>
      <c r="Y18" s="10">
        <f t="shared" ref="Y18:Y45" si="6">Y17-B18+U18</f>
        <v>28179.662767686707</v>
      </c>
    </row>
    <row r="19" spans="1:25" x14ac:dyDescent="0.2">
      <c r="A19" s="7">
        <f t="shared" ref="A19:A45" si="7">W18</f>
        <v>7041.5112251049441</v>
      </c>
      <c r="B19" s="2">
        <f t="shared" ref="B19:B45" si="8">U18</f>
        <v>347779.66276768671</v>
      </c>
      <c r="C19">
        <f>IF(A19&lt;=11000,A19*Constants!$B$2+Constants!$B$1,216.7)</f>
        <v>242.43017703681784</v>
      </c>
      <c r="D19">
        <f>IF(A19&lt;=11000, Constants!$B$4*(1-0.0065*A19/Constants!$B$1)^5.2561, 22632*EXP(9.81*(11000-A19)/Constants!$B$6/C19))</f>
        <v>40826.781471848473</v>
      </c>
      <c r="E19">
        <f>D19/(Constants!$B$6*Descend!C19)</f>
        <v>0.58678171058284578</v>
      </c>
      <c r="F19">
        <f>SQRT(Constants!$B$8*Constants!$B$6*Descend!C19)</f>
        <v>312.10326036969462</v>
      </c>
      <c r="G19" s="5">
        <v>290</v>
      </c>
      <c r="H19">
        <f>SQRT(5*((Constants!$B$3/Descend!E19*((1+0.2*(Descend!G19/661.5)^2)^3.5-1)+1)^0.286-1))</f>
        <v>0.61905158987506348</v>
      </c>
      <c r="I19">
        <f t="shared" ref="I19:I45" si="9">H19*F19</f>
        <v>193.20801953705035</v>
      </c>
      <c r="J19">
        <f>I19/Constants!$B$9</f>
        <v>375.56666913609712</v>
      </c>
      <c r="K19">
        <f>2*B19*Constants!$B$7/(Descend!E19*Descend!$B$2*Descend!I19^2)</f>
        <v>0.36306888435964985</v>
      </c>
      <c r="L19" s="5">
        <v>0.02</v>
      </c>
      <c r="M19">
        <f t="shared" ref="M19:M45" si="10">K19^2/(PI()*$B$3*$B$4)+L19</f>
        <v>2.5550171374962367E-2</v>
      </c>
      <c r="N19">
        <f>0.5*E19*Descend!I19^2*Descend!$B$2*Descend!M19</f>
        <v>240092.15854756985</v>
      </c>
      <c r="O19" s="2">
        <f>0.1*($B$9-$B$10*H19)*(E19/Constants!$B$3)^$B$11</f>
        <v>11312.86707869655</v>
      </c>
      <c r="P19" s="2">
        <f t="shared" si="4"/>
        <v>45251.468314786202</v>
      </c>
      <c r="Q19" s="2">
        <f>(P19-N19)*I19/B19/Constants!$B$7</f>
        <v>-11.033965427138009</v>
      </c>
      <c r="R19" s="2">
        <f t="shared" si="0"/>
        <v>-5.7140340715800049E-2</v>
      </c>
      <c r="S19" s="2">
        <f>P19*$B$1*$B$12/Constants!$B$7</f>
        <v>44.282782448720447</v>
      </c>
      <c r="T19" s="2">
        <f t="shared" si="1"/>
        <v>11573.56148786427</v>
      </c>
      <c r="U19" s="2">
        <f t="shared" si="2"/>
        <v>347735.37998523796</v>
      </c>
      <c r="V19" s="2">
        <f t="shared" ref="V19:V45" si="11">V18+T19</f>
        <v>48251.724546366517</v>
      </c>
      <c r="W19" s="7">
        <f t="shared" si="3"/>
        <v>6379.4732994766637</v>
      </c>
      <c r="X19">
        <f t="shared" si="5"/>
        <v>240</v>
      </c>
      <c r="Y19" s="10">
        <f t="shared" si="6"/>
        <v>28135.37998523796</v>
      </c>
    </row>
    <row r="20" spans="1:25" x14ac:dyDescent="0.2">
      <c r="A20" s="7">
        <f t="shared" si="7"/>
        <v>6379.4732994766637</v>
      </c>
      <c r="B20" s="2">
        <f t="shared" si="8"/>
        <v>347735.37998523796</v>
      </c>
      <c r="C20">
        <f>IF(A20&lt;=11000,A20*Constants!$B$2+Constants!$B$1,216.7)</f>
        <v>246.73342355340168</v>
      </c>
      <c r="D20">
        <f>IF(A20&lt;=11000, Constants!$B$4*(1-0.0065*A20/Constants!$B$1)^5.2561, 22632*EXP(9.81*(11000-A20)/Constants!$B$6/C20))</f>
        <v>44782.528790514581</v>
      </c>
      <c r="E20">
        <f>D20/(Constants!$B$6*Descend!C20)</f>
        <v>0.63241000523572655</v>
      </c>
      <c r="F20">
        <f>SQRT(Constants!$B$8*Constants!$B$6*Descend!C20)</f>
        <v>314.86106393734491</v>
      </c>
      <c r="G20" s="5">
        <v>290</v>
      </c>
      <c r="H20">
        <f>SQRT(5*((Constants!$B$3/Descend!E20*((1+0.2*(Descend!G20/661.5)^2)^3.5-1)+1)^0.286-1))</f>
        <v>0.59816066123383149</v>
      </c>
      <c r="I20">
        <f t="shared" si="9"/>
        <v>188.33750220154994</v>
      </c>
      <c r="J20">
        <f>I20/Constants!$B$9</f>
        <v>366.09913265885098</v>
      </c>
      <c r="K20">
        <f>2*B20*Constants!$B$7/(Descend!E20*Descend!$B$2*Descend!I20^2)</f>
        <v>0.35447715388637285</v>
      </c>
      <c r="L20" s="5">
        <v>0.02</v>
      </c>
      <c r="M20">
        <f t="shared" si="10"/>
        <v>2.5290598834702964E-2</v>
      </c>
      <c r="N20">
        <f>0.5*E20*Descend!I20^2*Descend!$B$2*Descend!M20</f>
        <v>243382.16489642038</v>
      </c>
      <c r="O20" s="2">
        <f>0.1*($B$9-$B$10*H20)*(E20/Constants!$B$3)^$B$11</f>
        <v>12350.502355664525</v>
      </c>
      <c r="P20" s="2">
        <f t="shared" si="4"/>
        <v>49402.009422658099</v>
      </c>
      <c r="Q20" s="2">
        <f>(P20-N20)*I20/B20/Constants!$B$7</f>
        <v>-10.709673286344685</v>
      </c>
      <c r="R20" s="2">
        <f t="shared" si="0"/>
        <v>-5.6894953349083809E-2</v>
      </c>
      <c r="S20" s="2">
        <f>P20*$B$1*$B$12/Constants!$B$7</f>
        <v>48.344474052754101</v>
      </c>
      <c r="T20" s="2">
        <f t="shared" si="1"/>
        <v>11281.965408607974</v>
      </c>
      <c r="U20" s="2">
        <f t="shared" si="2"/>
        <v>347687.03551118518</v>
      </c>
      <c r="V20" s="2">
        <f t="shared" si="11"/>
        <v>59533.689954974492</v>
      </c>
      <c r="W20" s="7">
        <f t="shared" si="3"/>
        <v>5736.8929022959828</v>
      </c>
      <c r="X20">
        <f t="shared" si="5"/>
        <v>300</v>
      </c>
      <c r="Y20" s="10">
        <f t="shared" si="6"/>
        <v>28087.035511185182</v>
      </c>
    </row>
    <row r="21" spans="1:25" x14ac:dyDescent="0.2">
      <c r="A21" s="7">
        <f t="shared" si="7"/>
        <v>5736.8929022959828</v>
      </c>
      <c r="B21" s="2">
        <f t="shared" si="8"/>
        <v>347687.03551118518</v>
      </c>
      <c r="C21">
        <f>IF(A21&lt;=11000,A21*Constants!$B$2+Constants!$B$1,216.7)</f>
        <v>250.91019613507609</v>
      </c>
      <c r="D21">
        <f>IF(A21&lt;=11000, Constants!$B$4*(1-0.0065*A21/Constants!$B$1)^5.2561, 22632*EXP(9.81*(11000-A21)/Constants!$B$6/C21))</f>
        <v>48913.336870062994</v>
      </c>
      <c r="E21">
        <f>D21/(Constants!$B$6*Descend!C21)</f>
        <v>0.67924599245902006</v>
      </c>
      <c r="F21">
        <f>SQRT(Constants!$B$8*Constants!$B$6*Descend!C21)</f>
        <v>317.51490800759825</v>
      </c>
      <c r="G21" s="5">
        <f>VLOOKUP(TRUNC(A21/1000),Flight!$A$3:$D$17,4,FALSE)</f>
        <v>290</v>
      </c>
      <c r="H21">
        <f>SQRT(5*((Constants!$B$3/Descend!E21*((1+0.2*(Descend!G21/661.5)^2)^3.5-1)+1)^0.286-1))</f>
        <v>0.57878563866875454</v>
      </c>
      <c r="I21">
        <f t="shared" si="9"/>
        <v>183.77306881802861</v>
      </c>
      <c r="J21">
        <f>I21/Constants!$B$9</f>
        <v>357.2265762999055</v>
      </c>
      <c r="K21">
        <f>2*B21*Constants!$B$7/(Descend!E21*Descend!$B$2*Descend!I21^2)</f>
        <v>0.34658470428004456</v>
      </c>
      <c r="L21" s="5">
        <v>0.02</v>
      </c>
      <c r="M21">
        <f t="shared" si="10"/>
        <v>2.5057630717941058E-2</v>
      </c>
      <c r="N21">
        <f>0.5*E21*Descend!I21^2*Descend!$B$2*Descend!M21</f>
        <v>246597.18626432156</v>
      </c>
      <c r="O21" s="2">
        <f>0.1*($B$9-$B$10*H21)*(E21/Constants!$B$3)^$B$11</f>
        <v>13420.423813841915</v>
      </c>
      <c r="P21" s="2">
        <f t="shared" si="4"/>
        <v>53681.69525536766</v>
      </c>
      <c r="Q21" s="2">
        <f>(P21-N21)*I21/B21/Constants!$B$7</f>
        <v>-10.394209496631985</v>
      </c>
      <c r="R21" s="2">
        <f t="shared" si="0"/>
        <v>-5.6590225466475949E-2</v>
      </c>
      <c r="S21" s="2">
        <f>P21*$B$1*$B$12/Constants!$B$7</f>
        <v>52.532545815650316</v>
      </c>
      <c r="T21" s="2">
        <f t="shared" si="1"/>
        <v>11008.733098510909</v>
      </c>
      <c r="U21" s="2">
        <f t="shared" si="2"/>
        <v>347634.50296536955</v>
      </c>
      <c r="V21" s="2">
        <f t="shared" si="11"/>
        <v>70542.4230534854</v>
      </c>
      <c r="W21" s="7">
        <f t="shared" si="3"/>
        <v>5113.2403324980642</v>
      </c>
      <c r="X21">
        <f t="shared" si="5"/>
        <v>360</v>
      </c>
      <c r="Y21" s="10">
        <f t="shared" si="6"/>
        <v>28034.502965369553</v>
      </c>
    </row>
    <row r="22" spans="1:25" x14ac:dyDescent="0.2">
      <c r="A22" s="7">
        <f t="shared" si="7"/>
        <v>5113.2403324980642</v>
      </c>
      <c r="B22" s="2">
        <f t="shared" si="8"/>
        <v>347634.50296536955</v>
      </c>
      <c r="C22">
        <f>IF(A22&lt;=11000,A22*Constants!$B$2+Constants!$B$1,216.7)</f>
        <v>254.96393783876258</v>
      </c>
      <c r="D22">
        <f>IF(A22&lt;=11000, Constants!$B$4*(1-0.0065*A22/Constants!$B$1)^5.2561, 22632*EXP(9.81*(11000-A22)/Constants!$B$6/C22))</f>
        <v>53212.308823248226</v>
      </c>
      <c r="E22">
        <f>D22/(Constants!$B$6*Descend!C22)</f>
        <v>0.72719594432084</v>
      </c>
      <c r="F22">
        <f>SQRT(Constants!$B$8*Constants!$B$6*Descend!C22)</f>
        <v>320.06953966851455</v>
      </c>
      <c r="G22" s="5">
        <f>VLOOKUP(TRUNC(A22/1000),Flight!$A$3:$D$17,4,FALSE)</f>
        <v>290</v>
      </c>
      <c r="H22">
        <f>SQRT(5*((Constants!$B$3/Descend!E22*((1+0.2*(Descend!G22/661.5)^2)^3.5-1)+1)^0.286-1))</f>
        <v>0.56078809813570196</v>
      </c>
      <c r="I22">
        <f t="shared" si="9"/>
        <v>179.4911884218759</v>
      </c>
      <c r="J22">
        <f>I22/Constants!$B$9</f>
        <v>348.90325948378427</v>
      </c>
      <c r="K22">
        <f>2*B22*Constants!$B$7/(Descend!E22*Descend!$B$2*Descend!I22^2)</f>
        <v>0.33931016855975865</v>
      </c>
      <c r="L22" s="5">
        <v>0.02</v>
      </c>
      <c r="M22">
        <f t="shared" si="10"/>
        <v>2.4847547592914465E-2</v>
      </c>
      <c r="N22">
        <f>0.5*E22*Descend!I22^2*Descend!$B$2*Descend!M22</f>
        <v>249734.49693679757</v>
      </c>
      <c r="O22" s="2">
        <f>0.1*($B$9-$B$10*H22)*(E22/Constants!$B$3)^$B$11</f>
        <v>14520.176254541217</v>
      </c>
      <c r="P22" s="2">
        <f t="shared" si="4"/>
        <v>58080.705018164866</v>
      </c>
      <c r="Q22" s="2">
        <f>(P22-N22)*I22/B22/Constants!$B$7</f>
        <v>-10.087154390446248</v>
      </c>
      <c r="R22" s="2">
        <f t="shared" si="0"/>
        <v>-5.6228228925158399E-2</v>
      </c>
      <c r="S22" s="2">
        <f>P22*$B$1*$B$12/Constants!$B$7</f>
        <v>56.83738717373933</v>
      </c>
      <c r="T22" s="2">
        <f t="shared" si="1"/>
        <v>10752.451336074131</v>
      </c>
      <c r="U22" s="2">
        <f t="shared" si="2"/>
        <v>347577.66557819583</v>
      </c>
      <c r="V22" s="2">
        <f t="shared" si="11"/>
        <v>81294.874389559525</v>
      </c>
      <c r="W22" s="7">
        <f t="shared" si="3"/>
        <v>4508.0110690712891</v>
      </c>
      <c r="X22">
        <f t="shared" si="5"/>
        <v>420</v>
      </c>
      <c r="Y22" s="10">
        <f t="shared" si="6"/>
        <v>27977.665578195825</v>
      </c>
    </row>
    <row r="23" spans="1:25" x14ac:dyDescent="0.2">
      <c r="A23" s="7">
        <f t="shared" si="7"/>
        <v>4508.0110690712891</v>
      </c>
      <c r="B23" s="2">
        <f t="shared" si="8"/>
        <v>347577.66557819583</v>
      </c>
      <c r="C23">
        <f>IF(A23&lt;=11000,A23*Constants!$B$2+Constants!$B$1,216.7)</f>
        <v>258.89792805103662</v>
      </c>
      <c r="D23">
        <f>IF(A23&lt;=11000, Constants!$B$4*(1-0.0065*A23/Constants!$B$1)^5.2561, 22632*EXP(9.81*(11000-A23)/Constants!$B$6/C23))</f>
        <v>57671.892726512793</v>
      </c>
      <c r="E23">
        <f>D23/(Constants!$B$6*Descend!C23)</f>
        <v>0.77616442483389858</v>
      </c>
      <c r="F23">
        <f>SQRT(Constants!$B$8*Constants!$B$6*Descend!C23)</f>
        <v>322.52935911464942</v>
      </c>
      <c r="G23" s="5">
        <f>VLOOKUP(TRUNC(A23/1000),Flight!$A$3:$D$17,4,FALSE)</f>
        <v>270</v>
      </c>
      <c r="H23">
        <f>SQRT(5*((Constants!$B$3/Descend!E23*((1+0.2*(Descend!G23/661.5)^2)^3.5-1)+1)^0.286-1))</f>
        <v>0.50732558084438695</v>
      </c>
      <c r="I23">
        <f t="shared" si="9"/>
        <v>163.6273944522074</v>
      </c>
      <c r="J23">
        <f>I23/Constants!$B$9</f>
        <v>318.06648430578917</v>
      </c>
      <c r="K23">
        <f>2*B23*Constants!$B$7/(Descend!E23*Descend!$B$2*Descend!I23^2)</f>
        <v>0.38247038616522738</v>
      </c>
      <c r="L23" s="5">
        <v>0.02</v>
      </c>
      <c r="M23">
        <f t="shared" si="10"/>
        <v>2.6159195090833438E-2</v>
      </c>
      <c r="N23">
        <f>0.5*E23*Descend!I23^2*Descend!$B$2*Descend!M23</f>
        <v>233210.14118789221</v>
      </c>
      <c r="O23" s="2">
        <f>0.1*($B$9-$B$10*H23)*(E23/Constants!$B$3)^$B$11</f>
        <v>16063.232753184509</v>
      </c>
      <c r="P23" s="2">
        <f t="shared" si="4"/>
        <v>64252.931012738038</v>
      </c>
      <c r="Q23" s="2">
        <f>(P23-N23)*I23/B23/Constants!$B$7</f>
        <v>-8.10796518651361</v>
      </c>
      <c r="R23" s="2">
        <f t="shared" si="0"/>
        <v>-4.95716921621559E-2</v>
      </c>
      <c r="S23" s="2">
        <f>P23*$B$1*$B$12/Constants!$B$7</f>
        <v>62.877486006349152</v>
      </c>
      <c r="T23" s="2">
        <f t="shared" si="1"/>
        <v>9805.5834307148307</v>
      </c>
      <c r="U23" s="2">
        <f t="shared" si="2"/>
        <v>347514.78809218947</v>
      </c>
      <c r="V23" s="2">
        <f t="shared" si="11"/>
        <v>91100.457820274358</v>
      </c>
      <c r="W23" s="7">
        <f t="shared" si="3"/>
        <v>4021.5331578804726</v>
      </c>
      <c r="X23">
        <f t="shared" si="5"/>
        <v>480</v>
      </c>
      <c r="Y23" s="10">
        <f t="shared" si="6"/>
        <v>27914.788092189468</v>
      </c>
    </row>
    <row r="24" spans="1:25" x14ac:dyDescent="0.2">
      <c r="A24" s="7">
        <f t="shared" si="7"/>
        <v>4021.5331578804726</v>
      </c>
      <c r="B24" s="2">
        <f t="shared" si="8"/>
        <v>347514.78809218947</v>
      </c>
      <c r="C24">
        <f>IF(A24&lt;=11000,A24*Constants!$B$2+Constants!$B$1,216.7)</f>
        <v>262.06003447377691</v>
      </c>
      <c r="D24">
        <f>IF(A24&lt;=11000, Constants!$B$4*(1-0.0065*A24/Constants!$B$1)^5.2561, 22632*EXP(9.81*(11000-A24)/Constants!$B$6/C24))</f>
        <v>61471.741234865782</v>
      </c>
      <c r="E24">
        <f>D24/(Constants!$B$6*Descend!C24)</f>
        <v>0.81732131387191931</v>
      </c>
      <c r="F24">
        <f>SQRT(Constants!$B$8*Constants!$B$6*Descend!C24)</f>
        <v>324.49302280875554</v>
      </c>
      <c r="G24" s="5">
        <f>VLOOKUP(TRUNC(A24/1000),Flight!$A$3:$D$17,4,FALSE)</f>
        <v>270</v>
      </c>
      <c r="H24">
        <f>SQRT(5*((Constants!$B$3/Descend!E24*((1+0.2*(Descend!G24/661.5)^2)^3.5-1)+1)^0.286-1))</f>
        <v>0.49513235936068623</v>
      </c>
      <c r="I24">
        <f t="shared" si="9"/>
        <v>160.66699597938009</v>
      </c>
      <c r="J24">
        <f>I24/Constants!$B$9</f>
        <v>312.31192506741274</v>
      </c>
      <c r="K24">
        <f>2*B24*Constants!$B$7/(Descend!E24*Descend!$B$2*Descend!I24^2)</f>
        <v>0.37665074743196675</v>
      </c>
      <c r="L24" s="5">
        <v>0.02</v>
      </c>
      <c r="M24">
        <f t="shared" si="10"/>
        <v>2.5973185456210135E-2</v>
      </c>
      <c r="N24">
        <f>0.5*E24*Descend!I24^2*Descend!$B$2*Descend!M24</f>
        <v>235087.03608069677</v>
      </c>
      <c r="O24" s="2">
        <f>0.1*($B$9-$B$10*H24)*(E24/Constants!$B$3)^$B$11</f>
        <v>17025.230022088996</v>
      </c>
      <c r="P24" s="2">
        <f t="shared" si="4"/>
        <v>68100.920088355982</v>
      </c>
      <c r="Q24" s="2">
        <f>(P24-N24)*I24/B24/Constants!$B$7</f>
        <v>-7.8698189170652668</v>
      </c>
      <c r="R24" s="2">
        <f t="shared" si="0"/>
        <v>-4.9001782973358478E-2</v>
      </c>
      <c r="S24" s="2">
        <f>P24*$B$1*$B$12/Constants!$B$7</f>
        <v>66.643102227137348</v>
      </c>
      <c r="T24" s="2">
        <f t="shared" si="1"/>
        <v>9628.4483885049012</v>
      </c>
      <c r="U24" s="2">
        <f t="shared" si="2"/>
        <v>347448.14498996234</v>
      </c>
      <c r="V24" s="2">
        <f t="shared" si="11"/>
        <v>100728.90620877926</v>
      </c>
      <c r="W24" s="7">
        <f t="shared" si="3"/>
        <v>3549.3440228565564</v>
      </c>
      <c r="X24">
        <f t="shared" si="5"/>
        <v>540</v>
      </c>
      <c r="Y24" s="10">
        <f t="shared" si="6"/>
        <v>27848.14498996234</v>
      </c>
    </row>
    <row r="25" spans="1:25" x14ac:dyDescent="0.2">
      <c r="A25" s="7">
        <f t="shared" si="7"/>
        <v>3549.3440228565564</v>
      </c>
      <c r="B25" s="2">
        <f t="shared" si="8"/>
        <v>347448.14498996234</v>
      </c>
      <c r="C25">
        <f>IF(A25&lt;=11000,A25*Constants!$B$2+Constants!$B$1,216.7)</f>
        <v>265.12926385143237</v>
      </c>
      <c r="D25">
        <f>IF(A25&lt;=11000, Constants!$B$4*(1-0.0065*A25/Constants!$B$1)^5.2561, 22632*EXP(9.81*(11000-A25)/Constants!$B$6/C25))</f>
        <v>65351.406774833449</v>
      </c>
      <c r="E25">
        <f>D25/(Constants!$B$6*Descend!C25)</f>
        <v>0.85884615971371769</v>
      </c>
      <c r="F25">
        <f>SQRT(Constants!$B$8*Constants!$B$6*Descend!C25)</f>
        <v>326.3877114958612</v>
      </c>
      <c r="G25" s="5">
        <f>VLOOKUP(TRUNC(A25/1000),Flight!$A$3:$D$17,4,FALSE)</f>
        <v>250</v>
      </c>
      <c r="H25">
        <f>SQRT(5*((Constants!$B$3/Descend!E25*((1+0.2*(Descend!G25/661.5)^2)^3.5-1)+1)^0.286-1))</f>
        <v>0.44835440171510171</v>
      </c>
      <c r="I25">
        <f t="shared" si="9"/>
        <v>146.33736711488808</v>
      </c>
      <c r="J25">
        <f>I25/Constants!$B$9</f>
        <v>284.45733085600779</v>
      </c>
      <c r="K25">
        <f>2*B25*Constants!$B$7/(Descend!E25*Descend!$B$2*Descend!I25^2)</f>
        <v>0.43199215540974573</v>
      </c>
      <c r="L25" s="5">
        <v>0.02</v>
      </c>
      <c r="M25">
        <f t="shared" si="10"/>
        <v>2.7857421534598754E-2</v>
      </c>
      <c r="N25">
        <f>0.5*E25*Descend!I25^2*Descend!$B$2*Descend!M25</f>
        <v>219798.16388337043</v>
      </c>
      <c r="O25" s="2">
        <f>0.1*($B$9-$B$10*H25)*(E25/Constants!$B$3)^$B$11</f>
        <v>18438.773643252494</v>
      </c>
      <c r="P25" s="2">
        <f t="shared" si="4"/>
        <v>73755.094573009977</v>
      </c>
      <c r="Q25" s="2">
        <f>(P25-N25)*I25/B25/Constants!$B$7</f>
        <v>-6.2701392217111955</v>
      </c>
      <c r="R25" s="2">
        <f t="shared" si="0"/>
        <v>-4.2860271901412735E-2</v>
      </c>
      <c r="S25" s="2">
        <f>P25*$B$1*$B$12/Constants!$B$7</f>
        <v>72.176239337502125</v>
      </c>
      <c r="T25" s="2">
        <f t="shared" si="1"/>
        <v>8772.1785963196398</v>
      </c>
      <c r="U25" s="2">
        <f t="shared" si="2"/>
        <v>347375.96875062486</v>
      </c>
      <c r="V25" s="2">
        <f t="shared" si="11"/>
        <v>109501.0848050989</v>
      </c>
      <c r="W25" s="7">
        <f t="shared" si="3"/>
        <v>3173.1356695538848</v>
      </c>
      <c r="X25">
        <f t="shared" si="5"/>
        <v>600</v>
      </c>
      <c r="Y25" s="10">
        <f t="shared" si="6"/>
        <v>27775.968750624859</v>
      </c>
    </row>
    <row r="26" spans="1:25" x14ac:dyDescent="0.2">
      <c r="A26" s="7">
        <f t="shared" si="7"/>
        <v>3173.1356695538848</v>
      </c>
      <c r="B26" s="2">
        <f t="shared" si="8"/>
        <v>347375.96875062486</v>
      </c>
      <c r="C26">
        <f>IF(A26&lt;=11000,A26*Constants!$B$2+Constants!$B$1,216.7)</f>
        <v>267.57461814789974</v>
      </c>
      <c r="D26">
        <f>IF(A26&lt;=11000, Constants!$B$4*(1-0.0065*A26/Constants!$B$1)^5.2561, 22632*EXP(9.81*(11000-A26)/Constants!$B$6/C26))</f>
        <v>68582.342818746794</v>
      </c>
      <c r="E26">
        <f>D26/(Constants!$B$6*Descend!C26)</f>
        <v>0.89307001022118515</v>
      </c>
      <c r="F26">
        <f>SQRT(Constants!$B$8*Constants!$B$6*Descend!C26)</f>
        <v>327.88943498049173</v>
      </c>
      <c r="G26" s="5">
        <f>VLOOKUP(TRUNC(A26/1000),Flight!$A$3:$D$17,4,FALSE)</f>
        <v>250</v>
      </c>
      <c r="H26">
        <f>SQRT(5*((Constants!$B$3/Descend!E26*((1+0.2*(Descend!G26/661.5)^2)^3.5-1)+1)^0.286-1))</f>
        <v>0.44007927175447936</v>
      </c>
      <c r="I26">
        <f t="shared" si="9"/>
        <v>144.2973437622025</v>
      </c>
      <c r="J26">
        <f>I26/Constants!$B$9</f>
        <v>280.49183927152905</v>
      </c>
      <c r="K26">
        <f>2*B26*Constants!$B$7/(Descend!E26*Descend!$B$2*Descend!I26^2)</f>
        <v>0.4271784219671208</v>
      </c>
      <c r="L26" s="5">
        <v>0.02</v>
      </c>
      <c r="M26">
        <f t="shared" si="10"/>
        <v>2.7683285052877267E-2</v>
      </c>
      <c r="N26">
        <f>0.5*E26*Descend!I26^2*Descend!$B$2*Descend!M26</f>
        <v>220839.67323760613</v>
      </c>
      <c r="O26" s="2">
        <f>0.1*($B$9-$B$10*H26)*(E26/Constants!$B$3)^$B$11</f>
        <v>19250.846515479498</v>
      </c>
      <c r="P26" s="2">
        <f t="shared" si="4"/>
        <v>77003.38606191799</v>
      </c>
      <c r="Q26" s="2">
        <f>(P26-N26)*I26/B26/Constants!$B$7</f>
        <v>-6.090571170973023</v>
      </c>
      <c r="R26" s="2">
        <f t="shared" si="0"/>
        <v>-4.2221020234978826E-2</v>
      </c>
      <c r="S26" s="2">
        <f>P26*$B$1*$B$12/Constants!$B$7</f>
        <v>75.354995534598643</v>
      </c>
      <c r="T26" s="2">
        <f t="shared" si="1"/>
        <v>8650.124975669356</v>
      </c>
      <c r="U26" s="2">
        <f t="shared" si="2"/>
        <v>347300.61375509028</v>
      </c>
      <c r="V26" s="2">
        <f t="shared" si="11"/>
        <v>118151.20978076826</v>
      </c>
      <c r="W26" s="7">
        <f t="shared" si="3"/>
        <v>2807.7013992955035</v>
      </c>
      <c r="X26">
        <f t="shared" si="5"/>
        <v>660</v>
      </c>
      <c r="Y26" s="10">
        <f t="shared" si="6"/>
        <v>27700.613755090279</v>
      </c>
    </row>
    <row r="27" spans="1:25" x14ac:dyDescent="0.2">
      <c r="A27" s="7">
        <f t="shared" si="7"/>
        <v>2807.7013992955035</v>
      </c>
      <c r="B27" s="2">
        <f t="shared" si="8"/>
        <v>347300.61375509028</v>
      </c>
      <c r="C27">
        <f>IF(A27&lt;=11000,A27*Constants!$B$2+Constants!$B$1,216.7)</f>
        <v>269.94994090457919</v>
      </c>
      <c r="D27">
        <f>IF(A27&lt;=11000, Constants!$B$4*(1-0.0065*A27/Constants!$B$1)^5.2561, 22632*EXP(9.81*(11000-A27)/Constants!$B$6/C27))</f>
        <v>71843.407617927383</v>
      </c>
      <c r="E27">
        <f>D27/(Constants!$B$6*Descend!C27)</f>
        <v>0.92730326683736786</v>
      </c>
      <c r="F27">
        <f>SQRT(Constants!$B$8*Constants!$B$6*Descend!C27)</f>
        <v>329.34159508853401</v>
      </c>
      <c r="G27" s="5">
        <f>VLOOKUP(TRUNC(A27/1000),Flight!$A$3:$D$17,4,FALSE)</f>
        <v>250</v>
      </c>
      <c r="H27">
        <f>SQRT(5*((Constants!$B$3/Descend!E27*((1+0.2*(Descend!G27/661.5)^2)^3.5-1)+1)^0.286-1))</f>
        <v>0.43224469241041108</v>
      </c>
      <c r="I27">
        <f t="shared" si="9"/>
        <v>142.35615646699753</v>
      </c>
      <c r="J27">
        <f>I27/Constants!$B$9</f>
        <v>276.71846977901879</v>
      </c>
      <c r="K27">
        <f>2*B27*Constants!$B$7/(Descend!E27*Descend!$B$2*Descend!I27^2)</f>
        <v>0.42261311324587536</v>
      </c>
      <c r="L27" s="5">
        <v>0.02</v>
      </c>
      <c r="M27">
        <f t="shared" si="10"/>
        <v>2.7519938157761943E-2</v>
      </c>
      <c r="N27">
        <f>0.5*E27*Descend!I27^2*Descend!$B$2*Descend!M27</f>
        <v>221860.01763737743</v>
      </c>
      <c r="O27" s="2">
        <f>0.1*($B$9-$B$10*H27)*(E27/Constants!$B$3)^$B$11</f>
        <v>20064.000630196977</v>
      </c>
      <c r="P27" s="2">
        <f t="shared" si="4"/>
        <v>80256.002520787908</v>
      </c>
      <c r="Q27" s="2">
        <f>(P27-N27)*I27/B27/Constants!$B$7</f>
        <v>-5.9166688557981129</v>
      </c>
      <c r="R27" s="2">
        <f t="shared" si="0"/>
        <v>-4.1574412887238094E-2</v>
      </c>
      <c r="S27" s="2">
        <f>P27*$B$1*$B$12/Constants!$B$7</f>
        <v>78.537984118202232</v>
      </c>
      <c r="T27" s="2">
        <f t="shared" si="1"/>
        <v>8533.9888639103337</v>
      </c>
      <c r="U27" s="2">
        <f t="shared" si="2"/>
        <v>347222.07577097206</v>
      </c>
      <c r="V27" s="2">
        <f t="shared" si="11"/>
        <v>126685.19864467859</v>
      </c>
      <c r="W27" s="7">
        <f t="shared" si="3"/>
        <v>2452.7012679476165</v>
      </c>
      <c r="X27">
        <f t="shared" si="5"/>
        <v>720</v>
      </c>
      <c r="Y27" s="10">
        <f t="shared" si="6"/>
        <v>27622.075770972064</v>
      </c>
    </row>
    <row r="28" spans="1:25" x14ac:dyDescent="0.2">
      <c r="A28" s="7">
        <f t="shared" si="7"/>
        <v>2452.7012679476165</v>
      </c>
      <c r="B28" s="2">
        <f t="shared" si="8"/>
        <v>347222.07577097206</v>
      </c>
      <c r="C28">
        <f>IF(A28&lt;=11000,A28*Constants!$B$2+Constants!$B$1,216.7)</f>
        <v>272.25744175834046</v>
      </c>
      <c r="D28">
        <f>IF(A28&lt;=11000, Constants!$B$4*(1-0.0065*A28/Constants!$B$1)^5.2561, 22632*EXP(9.81*(11000-A28)/Constants!$B$6/C28))</f>
        <v>75130.489080470361</v>
      </c>
      <c r="E28">
        <f>D28/(Constants!$B$6*Descend!C28)</f>
        <v>0.96151167037636442</v>
      </c>
      <c r="F28">
        <f>SQRT(Constants!$B$8*Constants!$B$6*Descend!C28)</f>
        <v>330.74618682382595</v>
      </c>
      <c r="G28" s="5">
        <f>VLOOKUP(TRUNC(A28/1000),Flight!$A$3:$D$17,4,FALSE)</f>
        <v>250</v>
      </c>
      <c r="H28">
        <f>SQRT(5*((Constants!$B$3/Descend!E28*((1+0.2*(Descend!G28/661.5)^2)^3.5-1)+1)^0.286-1))</f>
        <v>0.42482006364151359</v>
      </c>
      <c r="I28">
        <f t="shared" si="9"/>
        <v>140.50761613568568</v>
      </c>
      <c r="J28">
        <f>I28/Constants!$B$9</f>
        <v>273.1251917326</v>
      </c>
      <c r="K28">
        <f>2*B28*Constants!$B$7/(Descend!E28*Descend!$B$2*Descend!I28^2)</f>
        <v>0.41827774043062554</v>
      </c>
      <c r="L28" s="5">
        <v>0.02</v>
      </c>
      <c r="M28">
        <f t="shared" si="10"/>
        <v>2.7366443095066736E-2</v>
      </c>
      <c r="N28">
        <f>0.5*E28*Descend!I28^2*Descend!$B$2*Descend!M28</f>
        <v>222858.87692612037</v>
      </c>
      <c r="O28" s="2">
        <f>0.1*($B$9-$B$10*H28)*(E28/Constants!$B$3)^$B$11</f>
        <v>20877.344870576893</v>
      </c>
      <c r="P28" s="2">
        <f t="shared" si="4"/>
        <v>83509.379482307573</v>
      </c>
      <c r="Q28" s="2">
        <f>(P28-N28)*I28/B28/Constants!$B$7</f>
        <v>-5.7481611607612519</v>
      </c>
      <c r="R28" s="2">
        <f t="shared" si="0"/>
        <v>-4.0921381383479602E-2</v>
      </c>
      <c r="S28" s="2">
        <f>P28*$B$1*$B$12/Constants!$B$7</f>
        <v>81.721716924582353</v>
      </c>
      <c r="T28" s="2">
        <f t="shared" si="1"/>
        <v>8423.3993023868461</v>
      </c>
      <c r="U28" s="2">
        <f t="shared" si="2"/>
        <v>347140.35405404749</v>
      </c>
      <c r="V28" s="2">
        <f t="shared" si="11"/>
        <v>135108.59794706543</v>
      </c>
      <c r="W28" s="7">
        <f t="shared" si="3"/>
        <v>2107.8115983019416</v>
      </c>
      <c r="X28">
        <f t="shared" si="5"/>
        <v>780</v>
      </c>
      <c r="Y28" s="10">
        <f t="shared" si="6"/>
        <v>27540.354054047493</v>
      </c>
    </row>
    <row r="29" spans="1:25" x14ac:dyDescent="0.2">
      <c r="A29" s="7">
        <f t="shared" si="7"/>
        <v>2107.8115983019416</v>
      </c>
      <c r="B29" s="2">
        <f t="shared" si="8"/>
        <v>347140.35405404749</v>
      </c>
      <c r="C29">
        <f>IF(A29&lt;=11000,A29*Constants!$B$2+Constants!$B$1,216.7)</f>
        <v>274.49922461103739</v>
      </c>
      <c r="D29">
        <f>IF(A29&lt;=11000, Constants!$B$4*(1-0.0065*A29/Constants!$B$1)^5.2561, 22632*EXP(9.81*(11000-A29)/Constants!$B$6/C29))</f>
        <v>78439.550107081508</v>
      </c>
      <c r="E29">
        <f>D29/(Constants!$B$6*Descend!C29)</f>
        <v>0.9956623278107527</v>
      </c>
      <c r="F29">
        <f>SQRT(Constants!$B$8*Constants!$B$6*Descend!C29)</f>
        <v>332.10508645414455</v>
      </c>
      <c r="G29" s="5">
        <f>VLOOKUP(TRUNC(A29/1000),Flight!$A$3:$D$17,4,FALSE)</f>
        <v>250</v>
      </c>
      <c r="H29">
        <f>SQRT(5*((Constants!$B$3/Descend!E29*((1+0.2*(Descend!G29/661.5)^2)^3.5-1)+1)^0.286-1))</f>
        <v>0.41777749631223082</v>
      </c>
      <c r="I29">
        <f t="shared" si="9"/>
        <v>138.74603153136948</v>
      </c>
      <c r="J29">
        <f>I29/Constants!$B$9</f>
        <v>269.7009422432169</v>
      </c>
      <c r="K29">
        <f>2*B29*Constants!$B$7/(Descend!E29*Descend!$B$2*Descend!I29^2)</f>
        <v>0.41415566071466109</v>
      </c>
      <c r="L29" s="5">
        <v>0.02</v>
      </c>
      <c r="M29">
        <f t="shared" si="10"/>
        <v>2.722196759182852E-2</v>
      </c>
      <c r="N29">
        <f>0.5*E29*Descend!I29^2*Descend!$B$2*Descend!M29</f>
        <v>223836.043336673</v>
      </c>
      <c r="O29" s="2">
        <f>0.1*($B$9-$B$10*H29)*(E29/Constants!$B$3)^$B$11</f>
        <v>21690.025826488582</v>
      </c>
      <c r="P29" s="2">
        <f t="shared" si="4"/>
        <v>86760.103305954326</v>
      </c>
      <c r="Q29" s="2">
        <f>(P29-N29)*I29/B29/Constants!$B$7</f>
        <v>-5.5848008808990048</v>
      </c>
      <c r="R29" s="2">
        <f t="shared" si="0"/>
        <v>-4.0262845875801076E-2</v>
      </c>
      <c r="S29" s="2">
        <f>P29*$B$1*$B$12/Constants!$B$7</f>
        <v>84.902853388089866</v>
      </c>
      <c r="T29" s="2">
        <f t="shared" si="1"/>
        <v>8318.0151811215237</v>
      </c>
      <c r="U29" s="2">
        <f t="shared" si="2"/>
        <v>347055.45120065939</v>
      </c>
      <c r="V29" s="2">
        <f t="shared" si="11"/>
        <v>143426.61312818696</v>
      </c>
      <c r="W29" s="7">
        <f t="shared" si="3"/>
        <v>1772.7235454480012</v>
      </c>
      <c r="X29">
        <f t="shared" si="5"/>
        <v>840</v>
      </c>
      <c r="Y29" s="10">
        <f t="shared" si="6"/>
        <v>27455.451200659387</v>
      </c>
    </row>
    <row r="30" spans="1:25" x14ac:dyDescent="0.2">
      <c r="A30" s="7">
        <f t="shared" si="7"/>
        <v>1772.7235454480012</v>
      </c>
      <c r="B30" s="2">
        <f t="shared" si="8"/>
        <v>347055.45120065939</v>
      </c>
      <c r="C30">
        <f>IF(A30&lt;=11000,A30*Constants!$B$2+Constants!$B$1,216.7)</f>
        <v>276.67729695458797</v>
      </c>
      <c r="D30">
        <f>IF(A30&lt;=11000, Constants!$B$4*(1-0.0065*A30/Constants!$B$1)^5.2561, 22632*EXP(9.81*(11000-A30)/Constants!$B$6/C30))</f>
        <v>81766.638285870082</v>
      </c>
      <c r="E30">
        <f>D30/(Constants!$B$6*Descend!C30)</f>
        <v>1.0297237316987859</v>
      </c>
      <c r="F30">
        <f>SQRT(Constants!$B$8*Constants!$B$6*Descend!C30)</f>
        <v>333.42006225833717</v>
      </c>
      <c r="G30" s="5">
        <f>VLOOKUP(TRUNC(A30/1000),Flight!$A$3:$D$17,4,FALSE)</f>
        <v>180</v>
      </c>
      <c r="H30">
        <f>SQRT(5*((Constants!$B$3/Descend!E30*((1+0.2*(Descend!G30/661.5)^2)^3.5-1)+1)^0.286-1))</f>
        <v>0.29643288297563553</v>
      </c>
      <c r="I30">
        <f t="shared" si="9"/>
        <v>98.836670297154768</v>
      </c>
      <c r="J30">
        <f>I30/Constants!$B$9</f>
        <v>192.12328318953038</v>
      </c>
      <c r="K30">
        <f>2*B30*Constants!$B$7/(Descend!E30*Descend!$B$2*Descend!I30^2)</f>
        <v>0.7889575770639512</v>
      </c>
      <c r="L30" s="5">
        <v>0.02</v>
      </c>
      <c r="M30">
        <f t="shared" si="10"/>
        <v>4.6208105884398144E-2</v>
      </c>
      <c r="N30">
        <f>0.5*E30*Descend!I30^2*Descend!$B$2*Descend!M30</f>
        <v>199403.3236829224</v>
      </c>
      <c r="O30" s="2">
        <f>0.1*($B$9-$B$10*H30)*(E30/Constants!$B$3)^$B$11</f>
        <v>24205.043577004577</v>
      </c>
      <c r="P30" s="2">
        <f t="shared" si="4"/>
        <v>96820.174308018308</v>
      </c>
      <c r="Q30" s="2">
        <f>(P30-N30)*I30/B30/Constants!$B$7</f>
        <v>-2.9780107182353563</v>
      </c>
      <c r="R30" s="2">
        <f t="shared" si="0"/>
        <v>-3.0135186602198539E-2</v>
      </c>
      <c r="S30" s="2">
        <f>P30*$B$1*$B$12/Constants!$B$7</f>
        <v>94.747571188274804</v>
      </c>
      <c r="T30" s="2">
        <f t="shared" si="1"/>
        <v>5927.5077268044097</v>
      </c>
      <c r="U30" s="2">
        <f t="shared" si="2"/>
        <v>346960.70362947113</v>
      </c>
      <c r="V30" s="2">
        <f t="shared" si="11"/>
        <v>149354.12085499137</v>
      </c>
      <c r="W30" s="7">
        <f t="shared" si="3"/>
        <v>1594.0429023538798</v>
      </c>
      <c r="X30">
        <f t="shared" si="5"/>
        <v>900</v>
      </c>
      <c r="Y30" s="10">
        <f t="shared" si="6"/>
        <v>27360.703629471129</v>
      </c>
    </row>
    <row r="31" spans="1:25" x14ac:dyDescent="0.2">
      <c r="A31" s="7">
        <f t="shared" si="7"/>
        <v>1594.0429023538798</v>
      </c>
      <c r="B31" s="2">
        <f t="shared" si="8"/>
        <v>346960.70362947113</v>
      </c>
      <c r="C31">
        <f>IF(A31&lt;=11000,A31*Constants!$B$2+Constants!$B$1,216.7)</f>
        <v>277.83872113469977</v>
      </c>
      <c r="D31">
        <f>IF(A31&lt;=11000, Constants!$B$4*(1-0.0065*A31/Constants!$B$1)^5.2561, 22632*EXP(9.81*(11000-A31)/Constants!$B$6/C31))</f>
        <v>83586.91328895156</v>
      </c>
      <c r="E31">
        <f>D31/(Constants!$B$6*Descend!C31)</f>
        <v>1.048246979832365</v>
      </c>
      <c r="F31">
        <f>SQRT(Constants!$B$8*Constants!$B$6*Descend!C31)</f>
        <v>334.11913766188604</v>
      </c>
      <c r="G31" s="5">
        <f>VLOOKUP(TRUNC(A31/1000),Flight!$A$3:$D$17,4,FALSE)</f>
        <v>180</v>
      </c>
      <c r="H31">
        <f>SQRT(5*((Constants!$B$3/Descend!E31*((1+0.2*(Descend!G31/661.5)^2)^3.5-1)+1)^0.286-1))</f>
        <v>0.29385763195240144</v>
      </c>
      <c r="I31">
        <f t="shared" si="9"/>
        <v>98.183458583300265</v>
      </c>
      <c r="J31">
        <f>I31/Constants!$B$9</f>
        <v>190.85354010018634</v>
      </c>
      <c r="K31">
        <f>2*B31*Constants!$B$7/(Descend!E31*Descend!$B$2*Descend!I31^2)</f>
        <v>0.78514836840747415</v>
      </c>
      <c r="L31" s="5">
        <v>0.02</v>
      </c>
      <c r="M31">
        <f t="shared" si="10"/>
        <v>4.5955643282556607E-2</v>
      </c>
      <c r="N31">
        <f>0.5*E31*Descend!I31^2*Descend!$B$2*Descend!M31</f>
        <v>199221.59574164584</v>
      </c>
      <c r="O31" s="2">
        <f>0.1*($B$9-$B$10*H31)*(E31/Constants!$B$3)^$B$11</f>
        <v>24661.82005025274</v>
      </c>
      <c r="P31" s="2">
        <f t="shared" si="4"/>
        <v>98647.280201010959</v>
      </c>
      <c r="Q31" s="2">
        <f>(P31-N31)*I31/B31/Constants!$B$7</f>
        <v>-2.9011896187410353</v>
      </c>
      <c r="R31" s="2">
        <f t="shared" si="0"/>
        <v>-2.9552961458893308E-2</v>
      </c>
      <c r="S31" s="2">
        <f>P31*$B$1*$B$12/Constants!$B$7</f>
        <v>96.535564722701864</v>
      </c>
      <c r="T31" s="2">
        <f t="shared" si="1"/>
        <v>5888.4351654263037</v>
      </c>
      <c r="U31" s="2">
        <f t="shared" si="2"/>
        <v>346864.1680647484</v>
      </c>
      <c r="V31" s="2">
        <f t="shared" si="11"/>
        <v>155242.55602041769</v>
      </c>
      <c r="W31" s="7">
        <f t="shared" si="3"/>
        <v>1419.9715252294177</v>
      </c>
      <c r="X31">
        <f t="shared" si="5"/>
        <v>960</v>
      </c>
      <c r="Y31" s="10">
        <f t="shared" si="6"/>
        <v>27264.168064748403</v>
      </c>
    </row>
    <row r="32" spans="1:25" x14ac:dyDescent="0.2">
      <c r="A32" s="7">
        <f t="shared" si="7"/>
        <v>1419.9715252294177</v>
      </c>
      <c r="B32" s="2">
        <f t="shared" si="8"/>
        <v>346864.1680647484</v>
      </c>
      <c r="C32">
        <f>IF(A32&lt;=11000,A32*Constants!$B$2+Constants!$B$1,216.7)</f>
        <v>278.97018508600877</v>
      </c>
      <c r="D32">
        <f>IF(A32&lt;=11000, Constants!$B$4*(1-0.0065*A32/Constants!$B$1)^5.2561, 22632*EXP(9.81*(11000-A32)/Constants!$B$6/C32))</f>
        <v>85391.650052073324</v>
      </c>
      <c r="E32">
        <f>D32/(Constants!$B$6*Descend!C32)</f>
        <v>1.0665364889183757</v>
      </c>
      <c r="F32">
        <f>SQRT(Constants!$B$8*Constants!$B$6*Descend!C32)</f>
        <v>334.79877593497605</v>
      </c>
      <c r="G32" s="5">
        <f>VLOOKUP(TRUNC(A32/1000),Flight!$A$3:$D$17,4,FALSE)</f>
        <v>180</v>
      </c>
      <c r="H32">
        <f>SQRT(5*((Constants!$B$3/Descend!E32*((1+0.2*(Descend!G32/661.5)^2)^3.5-1)+1)^0.286-1))</f>
        <v>0.29137964002518701</v>
      </c>
      <c r="I32">
        <f t="shared" si="9"/>
        <v>97.553546812806573</v>
      </c>
      <c r="J32">
        <f>I32/Constants!$B$9</f>
        <v>189.62908851654711</v>
      </c>
      <c r="K32">
        <f>2*B32*Constants!$B$7/(Descend!E32*Descend!$B$2*Descend!I32^2)</f>
        <v>0.78146459639330523</v>
      </c>
      <c r="L32" s="5">
        <v>0.02</v>
      </c>
      <c r="M32">
        <f t="shared" si="10"/>
        <v>4.5712656420640929E-2</v>
      </c>
      <c r="N32">
        <f>0.5*E32*Descend!I32^2*Descend!$B$2*Descend!M32</f>
        <v>199046.98233185918</v>
      </c>
      <c r="O32" s="2">
        <f>0.1*($B$9-$B$10*H32)*(E32/Constants!$B$3)^$B$11</f>
        <v>25112.842930401403</v>
      </c>
      <c r="P32" s="2">
        <f t="shared" si="4"/>
        <v>100451.37172160561</v>
      </c>
      <c r="Q32" s="2">
        <f>(P32-N32)*I32/B32/Constants!$B$7</f>
        <v>-2.8266510558345632</v>
      </c>
      <c r="R32" s="2">
        <f t="shared" si="0"/>
        <v>-2.897943567932669E-2</v>
      </c>
      <c r="S32" s="2">
        <f>P32*$B$1*$B$12/Constants!$B$7</f>
        <v>98.301036547136988</v>
      </c>
      <c r="T32" s="2">
        <f t="shared" si="1"/>
        <v>5850.7551941985384</v>
      </c>
      <c r="U32" s="2">
        <f t="shared" si="2"/>
        <v>346765.86702820129</v>
      </c>
      <c r="V32" s="2">
        <f t="shared" si="11"/>
        <v>161093.31121461623</v>
      </c>
      <c r="W32" s="7">
        <f t="shared" si="3"/>
        <v>1250.372461879344</v>
      </c>
      <c r="X32">
        <f t="shared" si="5"/>
        <v>1020</v>
      </c>
      <c r="Y32" s="10">
        <f t="shared" si="6"/>
        <v>27165.86702820129</v>
      </c>
    </row>
    <row r="33" spans="1:25" x14ac:dyDescent="0.2">
      <c r="A33" s="7">
        <f t="shared" si="7"/>
        <v>1250.372461879344</v>
      </c>
      <c r="B33" s="2">
        <f t="shared" si="8"/>
        <v>346765.86702820129</v>
      </c>
      <c r="C33">
        <f>IF(A33&lt;=11000,A33*Constants!$B$2+Constants!$B$1,216.7)</f>
        <v>280.07257899778426</v>
      </c>
      <c r="D33">
        <f>IF(A33&lt;=11000, Constants!$B$4*(1-0.0065*A33/Constants!$B$1)^5.2561, 22632*EXP(9.81*(11000-A33)/Constants!$B$6/C33))</f>
        <v>87180.238653736989</v>
      </c>
      <c r="E33">
        <f>D33/(Constants!$B$6*Descend!C33)</f>
        <v>1.0845899260656136</v>
      </c>
      <c r="F33">
        <f>SQRT(Constants!$B$8*Constants!$B$6*Descend!C33)</f>
        <v>335.45962833299285</v>
      </c>
      <c r="G33" s="5">
        <f>VLOOKUP(TRUNC(A33/1000),Flight!$A$3:$D$17,4,FALSE)</f>
        <v>180</v>
      </c>
      <c r="H33">
        <f>SQRT(5*((Constants!$B$3/Descend!E33*((1+0.2*(Descend!G33/661.5)^2)^3.5-1)+1)^0.286-1))</f>
        <v>0.2889941247230125</v>
      </c>
      <c r="I33">
        <f t="shared" si="9"/>
        <v>96.945861670000355</v>
      </c>
      <c r="J33">
        <f>I33/Constants!$B$9</f>
        <v>188.44784207805</v>
      </c>
      <c r="K33">
        <f>2*B33*Constants!$B$7/(Descend!E33*Descend!$B$2*Descend!I33^2)</f>
        <v>0.77790030372269847</v>
      </c>
      <c r="L33" s="5">
        <v>0.02</v>
      </c>
      <c r="M33">
        <f t="shared" si="10"/>
        <v>4.5478638323444828E-2</v>
      </c>
      <c r="N33">
        <f>0.5*E33*Descend!I33^2*Descend!$B$2*Descend!M33</f>
        <v>198878.96978461568</v>
      </c>
      <c r="O33" s="2">
        <f>0.1*($B$9-$B$10*H33)*(E33/Constants!$B$3)^$B$11</f>
        <v>25558.051049597208</v>
      </c>
      <c r="P33" s="2">
        <f t="shared" si="4"/>
        <v>102232.20419838883</v>
      </c>
      <c r="Q33" s="2">
        <f>(P33-N33)*I33/B33/Constants!$B$7</f>
        <v>-2.7543000485197395</v>
      </c>
      <c r="R33" s="2">
        <f t="shared" si="0"/>
        <v>-2.8414526068535808E-2</v>
      </c>
      <c r="S33" s="2">
        <f>P33*$B$1*$B$12/Constants!$B$7</f>
        <v>100.04374722778113</v>
      </c>
      <c r="T33" s="2">
        <f t="shared" si="1"/>
        <v>5814.4036783021565</v>
      </c>
      <c r="U33" s="2">
        <f t="shared" si="2"/>
        <v>346665.82328097353</v>
      </c>
      <c r="V33" s="2">
        <f t="shared" si="11"/>
        <v>166907.71489291839</v>
      </c>
      <c r="W33" s="7">
        <f t="shared" si="3"/>
        <v>1085.1144589681596</v>
      </c>
      <c r="X33">
        <f t="shared" si="5"/>
        <v>1080</v>
      </c>
      <c r="Y33" s="10">
        <f t="shared" si="6"/>
        <v>27065.823280973535</v>
      </c>
    </row>
    <row r="34" spans="1:25" x14ac:dyDescent="0.2">
      <c r="A34" s="7">
        <f t="shared" si="7"/>
        <v>1085.1144589681596</v>
      </c>
      <c r="B34" s="2">
        <f t="shared" si="8"/>
        <v>346665.82328097353</v>
      </c>
      <c r="C34">
        <f>IF(A34&lt;=11000,A34*Constants!$B$2+Constants!$B$1,216.7)</f>
        <v>281.14675601670695</v>
      </c>
      <c r="D34">
        <f>IF(A34&lt;=11000, Constants!$B$4*(1-0.0065*A34/Constants!$B$1)^5.2561, 22632*EXP(9.81*(11000-A34)/Constants!$B$6/C34))</f>
        <v>88952.108647509027</v>
      </c>
      <c r="E34">
        <f>D34/(Constants!$B$6*Descend!C34)</f>
        <v>1.1024052533414135</v>
      </c>
      <c r="F34">
        <f>SQRT(Constants!$B$8*Constants!$B$6*Descend!C34)</f>
        <v>336.10231562355062</v>
      </c>
      <c r="G34" s="5">
        <f>VLOOKUP(TRUNC(A34/1000),Flight!$A$3:$D$17,4,FALSE)</f>
        <v>180</v>
      </c>
      <c r="H34">
        <f>SQRT(5*((Constants!$B$3/Descend!E34*((1+0.2*(Descend!G34/661.5)^2)^3.5-1)+1)^0.286-1))</f>
        <v>0.28669661277279823</v>
      </c>
      <c r="I34">
        <f t="shared" si="9"/>
        <v>96.359395434365908</v>
      </c>
      <c r="J34">
        <f>I34/Constants!$B$9</f>
        <v>187.30784193102826</v>
      </c>
      <c r="K34">
        <f>2*B34*Constants!$B$7/(Descend!E34*Descend!$B$2*Descend!I34^2)</f>
        <v>0.77444991420277287</v>
      </c>
      <c r="L34" s="5">
        <v>0.02</v>
      </c>
      <c r="M34">
        <f t="shared" si="10"/>
        <v>4.5253117751228561E-2</v>
      </c>
      <c r="N34">
        <f>0.5*E34*Descend!I34^2*Descend!$B$2*Descend!M34</f>
        <v>198717.08372514707</v>
      </c>
      <c r="O34" s="2">
        <f>0.1*($B$9-$B$10*H34)*(E34/Constants!$B$3)^$B$11</f>
        <v>25997.390951201345</v>
      </c>
      <c r="P34" s="2">
        <f t="shared" si="4"/>
        <v>103989.56380480538</v>
      </c>
      <c r="Q34" s="2">
        <f>(P34-N34)*I34/B34/Constants!$B$7</f>
        <v>-2.6840475056730937</v>
      </c>
      <c r="R34" s="2">
        <f t="shared" si="0"/>
        <v>-2.785815224458978E-2</v>
      </c>
      <c r="S34" s="2">
        <f>P34*$B$1*$B$12/Constants!$B$7</f>
        <v>101.76348751540588</v>
      </c>
      <c r="T34" s="2">
        <f t="shared" si="1"/>
        <v>5779.3204028561731</v>
      </c>
      <c r="U34" s="2">
        <f t="shared" si="2"/>
        <v>346564.05979345815</v>
      </c>
      <c r="V34" s="2">
        <f t="shared" si="11"/>
        <v>172687.03529577455</v>
      </c>
      <c r="W34" s="7">
        <f t="shared" si="3"/>
        <v>924.07160862777403</v>
      </c>
      <c r="X34">
        <f t="shared" si="5"/>
        <v>1140</v>
      </c>
      <c r="Y34" s="10">
        <f t="shared" si="6"/>
        <v>26964.059793458146</v>
      </c>
    </row>
    <row r="35" spans="1:25" x14ac:dyDescent="0.2">
      <c r="A35" s="7">
        <f t="shared" si="7"/>
        <v>924.07160862777403</v>
      </c>
      <c r="B35" s="2">
        <f t="shared" si="8"/>
        <v>346564.05979345815</v>
      </c>
      <c r="C35">
        <f>IF(A35&lt;=11000,A35*Constants!$B$2+Constants!$B$1,216.7)</f>
        <v>282.19353454391944</v>
      </c>
      <c r="D35">
        <f>IF(A35&lt;=11000, Constants!$B$4*(1-0.0065*A35/Constants!$B$1)^5.2561, 22632*EXP(9.81*(11000-A35)/Constants!$B$6/C35))</f>
        <v>90706.727879467944</v>
      </c>
      <c r="E35">
        <f>D35/(Constants!$B$6*Descend!C35)</f>
        <v>1.1199807152350243</v>
      </c>
      <c r="F35">
        <f>SQRT(Constants!$B$8*Constants!$B$6*Descend!C35)</f>
        <v>336.72743009702492</v>
      </c>
      <c r="G35" s="5">
        <f>VLOOKUP(TRUNC(A35/1000),Flight!$A$3:$D$17,4,FALSE)</f>
        <v>140</v>
      </c>
      <c r="H35">
        <f>SQRT(5*((Constants!$B$3/Descend!E35*((1+0.2*(Descend!G35/661.5)^2)^3.5-1)+1)^0.286-1))</f>
        <v>0.22133715886185987</v>
      </c>
      <c r="I35">
        <f t="shared" si="9"/>
        <v>74.53029268853102</v>
      </c>
      <c r="J35">
        <f>I35/Constants!$B$9</f>
        <v>144.87542412494074</v>
      </c>
      <c r="K35">
        <f>2*B35*Constants!$B$7/(Descend!E35*Descend!$B$2*Descend!I35^2)</f>
        <v>1.2738521941703291</v>
      </c>
      <c r="L35" s="5">
        <v>0.02</v>
      </c>
      <c r="M35">
        <f t="shared" si="10"/>
        <v>8.8322918694820424E-2</v>
      </c>
      <c r="N35">
        <f>0.5*E35*Descend!I35^2*Descend!$B$2*Descend!M35</f>
        <v>235725.68290785066</v>
      </c>
      <c r="O35" s="2">
        <f>0.1*($B$9-$B$10*H35)*(E35/Constants!$B$3)^$B$11</f>
        <v>27447.978767329183</v>
      </c>
      <c r="P35" s="2">
        <f t="shared" si="4"/>
        <v>109791.91506931673</v>
      </c>
      <c r="Q35" s="2">
        <f>(P35-N35)*I35/B35/Constants!$B$7</f>
        <v>-2.7607208435114132</v>
      </c>
      <c r="R35" s="2">
        <f t="shared" si="0"/>
        <v>-3.7050069918134719E-2</v>
      </c>
      <c r="S35" s="2">
        <f>P35*$B$1*$B$12/Constants!$B$7</f>
        <v>107.44162942563106</v>
      </c>
      <c r="T35" s="2">
        <f t="shared" si="1"/>
        <v>4468.7486632372029</v>
      </c>
      <c r="U35" s="2">
        <f t="shared" si="2"/>
        <v>346456.61816403252</v>
      </c>
      <c r="V35" s="2">
        <f t="shared" si="11"/>
        <v>177155.78395901175</v>
      </c>
      <c r="W35" s="7">
        <f t="shared" si="3"/>
        <v>758.42835801708929</v>
      </c>
      <c r="X35">
        <f t="shared" si="5"/>
        <v>1200</v>
      </c>
      <c r="Y35" s="10">
        <f t="shared" si="6"/>
        <v>26856.618164032523</v>
      </c>
    </row>
    <row r="36" spans="1:25" x14ac:dyDescent="0.2">
      <c r="A36" s="7">
        <f t="shared" ref="A36:A45" si="12">W35</f>
        <v>758.42835801708929</v>
      </c>
      <c r="B36" s="2">
        <f t="shared" ref="B36:B45" si="13">U35</f>
        <v>346456.61816403252</v>
      </c>
      <c r="C36">
        <f>IF(A36&lt;=11000,A36*Constants!$B$2+Constants!$B$1,216.7)</f>
        <v>283.27021567288892</v>
      </c>
      <c r="D36">
        <f>IF(A36&lt;=11000, Constants!$B$4*(1-0.0065*A36/Constants!$B$1)^5.2561, 22632*EXP(9.81*(11000-A36)/Constants!$B$6/C36))</f>
        <v>92540.602470617916</v>
      </c>
      <c r="E36">
        <f>D36/(Constants!$B$6*Descend!C36)</f>
        <v>1.1382810678668298</v>
      </c>
      <c r="F36">
        <f>SQRT(Constants!$B$8*Constants!$B$6*Descend!C36)</f>
        <v>337.36919340296436</v>
      </c>
      <c r="G36" s="5">
        <f>VLOOKUP(TRUNC(A36/1000),Flight!$A$3:$D$17,4,FALSE)</f>
        <v>140</v>
      </c>
      <c r="H36">
        <f>SQRT(5*((Constants!$B$3/Descend!E36*((1+0.2*(Descend!G36/661.5)^2)^3.5-1)+1)^0.286-1))</f>
        <v>0.21957198848417142</v>
      </c>
      <c r="I36">
        <f t="shared" ref="I36:I45" si="14">H36*F36</f>
        <v>74.076824648789895</v>
      </c>
      <c r="J36">
        <f>I36/Constants!$B$9</f>
        <v>143.99395201186115</v>
      </c>
      <c r="K36">
        <f>2*B36*Constants!$B$7/(Descend!E36*Descend!$B$2*Descend!I36^2)</f>
        <v>1.2683711317334196</v>
      </c>
      <c r="L36" s="5">
        <v>0.02</v>
      </c>
      <c r="M36">
        <f t="shared" ref="M36:M45" si="15">K36^2/(PI()*$B$3*$B$4)+L36</f>
        <v>8.7736231268932666E-2</v>
      </c>
      <c r="N36">
        <f>0.5*E36*Descend!I36^2*Descend!$B$2*Descend!M36</f>
        <v>235098.84503282109</v>
      </c>
      <c r="O36" s="2">
        <f>0.1*($B$9-$B$10*H36)*(E36/Constants!$B$3)^$B$11</f>
        <v>27907.275243627591</v>
      </c>
      <c r="P36" s="2">
        <f t="shared" ref="P36:P45" si="16">IF(O36&gt;0, O36*$B$13, 0)</f>
        <v>111629.10097451037</v>
      </c>
      <c r="Q36" s="2">
        <f>(P36-N36)*I36/B36/Constants!$B$7</f>
        <v>-2.6910702582680281</v>
      </c>
      <c r="R36" s="2">
        <f t="shared" ref="R36:R45" si="17">ASIN(Q36/I36)</f>
        <v>-3.6336094825282751E-2</v>
      </c>
      <c r="S36" s="2">
        <f>P36*$B$1*$B$12/Constants!$B$7</f>
        <v>109.2394871921814</v>
      </c>
      <c r="T36" s="2">
        <f t="shared" ref="T36:T45" si="18">I36*COS(R36)*$B$1</f>
        <v>4441.6756666021292</v>
      </c>
      <c r="U36" s="2">
        <f t="shared" ref="U36:U45" si="19">B36-S36</f>
        <v>346347.37867684034</v>
      </c>
      <c r="V36" s="2">
        <f t="shared" ref="V36:V45" si="20">V35+T36</f>
        <v>181597.45962561388</v>
      </c>
      <c r="W36" s="7">
        <f t="shared" ref="W36:W45" si="21">A36+Q36*$B$1</f>
        <v>596.9641425210076</v>
      </c>
      <c r="X36">
        <f t="shared" si="5"/>
        <v>1260</v>
      </c>
      <c r="Y36" s="10">
        <f t="shared" si="6"/>
        <v>26747.378676840337</v>
      </c>
    </row>
    <row r="37" spans="1:25" x14ac:dyDescent="0.2">
      <c r="A37" s="7">
        <f t="shared" si="12"/>
        <v>596.9641425210076</v>
      </c>
      <c r="B37" s="2">
        <f t="shared" si="13"/>
        <v>346347.37867684034</v>
      </c>
      <c r="C37">
        <f>IF(A37&lt;=11000,A37*Constants!$B$2+Constants!$B$1,216.7)</f>
        <v>284.31973307361346</v>
      </c>
      <c r="D37">
        <f>IF(A37&lt;=11000, Constants!$B$4*(1-0.0065*A37/Constants!$B$1)^5.2561, 22632*EXP(9.81*(11000-A37)/Constants!$B$6/C37))</f>
        <v>94356.992463403818</v>
      </c>
      <c r="E37">
        <f>D37/(Constants!$B$6*Descend!C37)</f>
        <v>1.1563390448814415</v>
      </c>
      <c r="F37">
        <f>SQRT(Constants!$B$8*Constants!$B$6*Descend!C37)</f>
        <v>337.99359276320291</v>
      </c>
      <c r="G37" s="5">
        <f>VLOOKUP(TRUNC(A37/1000),Flight!$A$3:$D$17,4,FALSE)</f>
        <v>140</v>
      </c>
      <c r="H37">
        <f>SQRT(5*((Constants!$B$3/Descend!E37*((1+0.2*(Descend!G37/661.5)^2)^3.5-1)+1)^0.286-1))</f>
        <v>0.21787095524731298</v>
      </c>
      <c r="I37">
        <f t="shared" si="14"/>
        <v>73.638986922790309</v>
      </c>
      <c r="J37">
        <f>I37/Constants!$B$9</f>
        <v>143.14286282431189</v>
      </c>
      <c r="K37">
        <f>2*B37*Constants!$B$7/(Descend!E37*Descend!$B$2*Descend!I37^2)</f>
        <v>1.2630566207885874</v>
      </c>
      <c r="L37" s="5">
        <v>0.02</v>
      </c>
      <c r="M37">
        <f t="shared" si="15"/>
        <v>8.716978701629477E-2</v>
      </c>
      <c r="N37">
        <f>0.5*E37*Descend!I37^2*Descend!$B$2*Descend!M37</f>
        <v>234489.86552158889</v>
      </c>
      <c r="O37" s="2">
        <f>0.1*($B$9-$B$10*H37)*(E37/Constants!$B$3)^$B$11</f>
        <v>28360.413943294698</v>
      </c>
      <c r="P37" s="2">
        <f t="shared" si="16"/>
        <v>113441.65577317879</v>
      </c>
      <c r="Q37" s="2">
        <f>(P37-N37)*I37/B37/Constants!$B$7</f>
        <v>-2.6235253412696733</v>
      </c>
      <c r="R37" s="2">
        <f t="shared" si="17"/>
        <v>-3.5634393722428985E-2</v>
      </c>
      <c r="S37" s="2">
        <f>P37*$B$1*$B$12/Constants!$B$7</f>
        <v>111.01324112360005</v>
      </c>
      <c r="T37" s="2">
        <f t="shared" si="18"/>
        <v>4415.5342865020257</v>
      </c>
      <c r="U37" s="2">
        <f t="shared" si="19"/>
        <v>346236.36543571675</v>
      </c>
      <c r="V37" s="2">
        <f t="shared" si="20"/>
        <v>186012.9939121159</v>
      </c>
      <c r="W37" s="7">
        <f t="shared" si="21"/>
        <v>439.55262204482722</v>
      </c>
      <c r="X37">
        <f t="shared" si="5"/>
        <v>1320</v>
      </c>
      <c r="Y37" s="10">
        <f t="shared" si="6"/>
        <v>26636.365435716754</v>
      </c>
    </row>
    <row r="38" spans="1:25" x14ac:dyDescent="0.2">
      <c r="A38" s="7">
        <f t="shared" si="12"/>
        <v>439.55262204482722</v>
      </c>
      <c r="B38" s="2">
        <f t="shared" si="13"/>
        <v>346236.36543571675</v>
      </c>
      <c r="C38">
        <f>IF(A38&lt;=11000,A38*Constants!$B$2+Constants!$B$1,216.7)</f>
        <v>285.34290795670859</v>
      </c>
      <c r="D38">
        <f>IF(A38&lt;=11000, Constants!$B$4*(1-0.0065*A38/Constants!$B$1)^5.2561, 22632*EXP(9.81*(11000-A38)/Constants!$B$6/C38))</f>
        <v>96155.477060898687</v>
      </c>
      <c r="E38">
        <f>D38/(Constants!$B$6*Descend!C38)</f>
        <v>1.1741539603623237</v>
      </c>
      <c r="F38">
        <f>SQRT(Constants!$B$8*Constants!$B$6*Descend!C38)</f>
        <v>338.60121148189279</v>
      </c>
      <c r="G38" s="5">
        <f>VLOOKUP(TRUNC(A38/1000),Flight!$A$3:$D$17,4,FALSE)</f>
        <v>140</v>
      </c>
      <c r="H38">
        <f>SQRT(5*((Constants!$B$3/Descend!E38*((1+0.2*(Descend!G38/661.5)^2)^3.5-1)+1)^0.286-1))</f>
        <v>0.2162309772884429</v>
      </c>
      <c r="I38">
        <f t="shared" si="14"/>
        <v>73.21607086978041</v>
      </c>
      <c r="J38">
        <f>I38/Constants!$B$9</f>
        <v>142.32077907368034</v>
      </c>
      <c r="K38">
        <f>2*B38*Constants!$B$7/(Descend!E38*Descend!$B$2*Descend!I38^2)</f>
        <v>1.2579011391994528</v>
      </c>
      <c r="L38" s="5">
        <v>0.02</v>
      </c>
      <c r="M38">
        <f t="shared" si="15"/>
        <v>8.6622565530450335E-2</v>
      </c>
      <c r="N38">
        <f>0.5*E38*Descend!I38^2*Descend!$B$2*Descend!M38</f>
        <v>233897.84438767043</v>
      </c>
      <c r="O38" s="2">
        <f>0.1*($B$9-$B$10*H38)*(E38/Constants!$B$3)^$B$11</f>
        <v>28807.380028120959</v>
      </c>
      <c r="P38" s="2">
        <f t="shared" si="16"/>
        <v>115229.52011248383</v>
      </c>
      <c r="Q38" s="2">
        <f>(P38-N38)*I38/B38/Constants!$B$7</f>
        <v>-2.5579941148467547</v>
      </c>
      <c r="R38" s="2">
        <f t="shared" si="17"/>
        <v>-3.4944715923817433E-2</v>
      </c>
      <c r="S38" s="2">
        <f>P38*$B$1*$B$12/Constants!$B$7</f>
        <v>112.76283313759888</v>
      </c>
      <c r="T38" s="2">
        <f t="shared" si="18"/>
        <v>4390.2823279353706</v>
      </c>
      <c r="U38" s="2">
        <f t="shared" si="19"/>
        <v>346123.60260257917</v>
      </c>
      <c r="V38" s="2">
        <f t="shared" si="20"/>
        <v>190403.27624005126</v>
      </c>
      <c r="W38" s="7">
        <f t="shared" si="21"/>
        <v>286.07297515402195</v>
      </c>
      <c r="X38">
        <f t="shared" si="5"/>
        <v>1380</v>
      </c>
      <c r="Y38" s="10">
        <f t="shared" si="6"/>
        <v>26523.602602579165</v>
      </c>
    </row>
    <row r="39" spans="1:25" x14ac:dyDescent="0.2">
      <c r="A39" s="7">
        <f t="shared" si="12"/>
        <v>286.07297515402195</v>
      </c>
      <c r="B39" s="2">
        <f t="shared" si="13"/>
        <v>346123.60260257917</v>
      </c>
      <c r="C39">
        <f>IF(A39&lt;=11000,A39*Constants!$B$2+Constants!$B$1,216.7)</f>
        <v>286.34052566149887</v>
      </c>
      <c r="D39">
        <f>IF(A39&lt;=11000, Constants!$B$4*(1-0.0065*A39/Constants!$B$1)^5.2561, 22632*EXP(9.81*(11000-A39)/Constants!$B$6/C39))</f>
        <v>97935.666172106314</v>
      </c>
      <c r="E39">
        <f>D39/(Constants!$B$6*Descend!C39)</f>
        <v>1.1917253213346217</v>
      </c>
      <c r="F39">
        <f>SQRT(Constants!$B$8*Constants!$B$6*Descend!C39)</f>
        <v>339.19260488812284</v>
      </c>
      <c r="G39" s="5">
        <f>VLOOKUP(TRUNC(A39/1000),Flight!$A$3:$D$17,4,FALSE)</f>
        <v>140</v>
      </c>
      <c r="H39">
        <f>SQRT(5*((Constants!$B$3/Descend!E39*((1+0.2*(Descend!G39/661.5)^2)^3.5-1)+1)^0.286-1))</f>
        <v>0.21464916994306202</v>
      </c>
      <c r="I39">
        <f t="shared" si="14"/>
        <v>72.807411090060569</v>
      </c>
      <c r="J39">
        <f>I39/Constants!$B$9</f>
        <v>141.52640732530764</v>
      </c>
      <c r="K39">
        <f>2*B39*Constants!$B$7/(Descend!E39*Descend!$B$2*Descend!I39^2)</f>
        <v>1.252897626004621</v>
      </c>
      <c r="L39" s="5">
        <v>0.02</v>
      </c>
      <c r="M39">
        <f t="shared" si="15"/>
        <v>8.6093614719124467E-2</v>
      </c>
      <c r="N39">
        <f>0.5*E39*Descend!I39^2*Descend!$B$2*Descend!M39</f>
        <v>233321.94004722621</v>
      </c>
      <c r="O39" s="2">
        <f>0.1*($B$9-$B$10*H39)*(E39/Constants!$B$3)^$B$11</f>
        <v>29248.16358023513</v>
      </c>
      <c r="P39" s="2">
        <f t="shared" si="16"/>
        <v>116992.65432094052</v>
      </c>
      <c r="Q39" s="2">
        <f>(P39-N39)*I39/B39/Constants!$B$7</f>
        <v>-2.4943904048969667</v>
      </c>
      <c r="R39" s="2">
        <f t="shared" si="17"/>
        <v>-3.4266822469237943E-2</v>
      </c>
      <c r="S39" s="2">
        <f>P39*$B$1*$B$12/Constants!$B$7</f>
        <v>114.48822441192955</v>
      </c>
      <c r="T39" s="2">
        <f t="shared" si="18"/>
        <v>4365.8801694643562</v>
      </c>
      <c r="U39" s="2">
        <f t="shared" si="19"/>
        <v>346009.11437816726</v>
      </c>
      <c r="V39" s="2">
        <f t="shared" si="20"/>
        <v>194769.15640951562</v>
      </c>
      <c r="W39" s="7">
        <f t="shared" si="21"/>
        <v>136.40955086020395</v>
      </c>
      <c r="X39">
        <f t="shared" si="5"/>
        <v>1440</v>
      </c>
      <c r="Y39" s="10">
        <f t="shared" si="6"/>
        <v>26409.114378167258</v>
      </c>
    </row>
    <row r="40" spans="1:25" x14ac:dyDescent="0.2">
      <c r="A40" s="7">
        <f t="shared" si="12"/>
        <v>136.40955086020395</v>
      </c>
      <c r="B40" s="2">
        <f t="shared" si="13"/>
        <v>346009.11437816726</v>
      </c>
      <c r="C40">
        <f>IF(A40&lt;=11000,A40*Constants!$B$2+Constants!$B$1,216.7)</f>
        <v>287.31333791940864</v>
      </c>
      <c r="D40">
        <f>IF(A40&lt;=11000, Constants!$B$4*(1-0.0065*A40/Constants!$B$1)^5.2561, 22632*EXP(9.81*(11000-A40)/Constants!$B$6/C40))</f>
        <v>99697.199292982536</v>
      </c>
      <c r="E40">
        <f>D40/(Constants!$B$6*Descend!C40)</f>
        <v>1.2090528185582678</v>
      </c>
      <c r="F40">
        <f>SQRT(Constants!$B$8*Constants!$B$6*Descend!C40)</f>
        <v>339.76830219433123</v>
      </c>
      <c r="G40" s="5">
        <f>VLOOKUP(TRUNC(A40/1000),Flight!$A$3:$D$17,4,FALSE)</f>
        <v>140</v>
      </c>
      <c r="H40">
        <f>SQRT(5*((Constants!$B$3/Descend!E40*((1+0.2*(Descend!G40/661.5)^2)^3.5-1)+1)^0.286-1))</f>
        <v>0.21312282990627909</v>
      </c>
      <c r="I40">
        <f t="shared" si="14"/>
        <v>72.41238207610769</v>
      </c>
      <c r="J40">
        <f>I40/Constants!$B$9</f>
        <v>140.75853168878962</v>
      </c>
      <c r="K40">
        <f>2*B40*Constants!$B$7/(Descend!E40*Descend!$B$2*Descend!I40^2)</f>
        <v>1.2480394451662493</v>
      </c>
      <c r="L40" s="5">
        <v>0.02</v>
      </c>
      <c r="M40">
        <f t="shared" si="15"/>
        <v>8.5582045067310403E-2</v>
      </c>
      <c r="N40">
        <f>0.5*E40*Descend!I40^2*Descend!$B$2*Descend!M40</f>
        <v>232761.3646198097</v>
      </c>
      <c r="O40" s="2">
        <f>0.1*($B$9-$B$10*H40)*(E40/Constants!$B$3)^$B$11</f>
        <v>29682.759353236379</v>
      </c>
      <c r="P40" s="2">
        <f t="shared" si="16"/>
        <v>118731.03741294552</v>
      </c>
      <c r="Q40" s="2">
        <f>(P40-N40)*I40/B40/Constants!$B$7</f>
        <v>-2.432633361979244</v>
      </c>
      <c r="R40" s="2">
        <f t="shared" si="17"/>
        <v>-3.3600485027943723E-2</v>
      </c>
      <c r="S40" s="2">
        <f>P40*$B$1*$B$12/Constants!$B$7</f>
        <v>116.18939441022191</v>
      </c>
      <c r="T40" s="2">
        <f t="shared" si="18"/>
        <v>4342.2905640116478</v>
      </c>
      <c r="U40" s="2">
        <f t="shared" si="19"/>
        <v>345892.92498375702</v>
      </c>
      <c r="V40" s="2">
        <f t="shared" si="20"/>
        <v>199111.44697352726</v>
      </c>
      <c r="W40" s="7">
        <f t="shared" si="21"/>
        <v>-9.5484508585506944</v>
      </c>
      <c r="X40">
        <f t="shared" si="5"/>
        <v>1500</v>
      </c>
      <c r="Y40" s="10">
        <f t="shared" si="6"/>
        <v>26292.924983757024</v>
      </c>
    </row>
    <row r="41" spans="1:25" x14ac:dyDescent="0.2">
      <c r="A41" s="7">
        <f t="shared" si="12"/>
        <v>-9.5484508585506944</v>
      </c>
      <c r="B41" s="2">
        <f t="shared" si="13"/>
        <v>345892.92498375702</v>
      </c>
      <c r="C41">
        <f>IF(A41&lt;=11000,A41*Constants!$B$2+Constants!$B$1,216.7)</f>
        <v>288.26206493058055</v>
      </c>
      <c r="D41">
        <f>IF(A41&lt;=11000, Constants!$B$4*(1-0.0065*A41/Constants!$B$1)^5.2561, 22632*EXP(9.81*(11000-A41)/Constants!$B$6/C41))</f>
        <v>101439.74441604024</v>
      </c>
      <c r="E41">
        <f>D41/(Constants!$B$6*Descend!C41)</f>
        <v>1.2261363176614617</v>
      </c>
      <c r="F41">
        <f>SQRT(Constants!$B$8*Constants!$B$6*Descend!C41)</f>
        <v>340.32880819746549</v>
      </c>
      <c r="G41" s="5">
        <f>VLOOKUP(TRUNC(A41/1000),Flight!$A$3:$D$17,4,FALSE)</f>
        <v>140</v>
      </c>
      <c r="H41">
        <f>SQRT(5*((Constants!$B$3/Descend!E41*((1+0.2*(Descend!G41/661.5)^2)^3.5-1)+1)^0.286-1))</f>
        <v>0.21164942091772224</v>
      </c>
      <c r="I41">
        <f t="shared" si="14"/>
        <v>72.030395176612132</v>
      </c>
      <c r="J41">
        <f>I41/Constants!$B$9</f>
        <v>140.01600791653149</v>
      </c>
      <c r="K41">
        <f>2*B41*Constants!$B$7/(Descend!E41*Descend!$B$2*Descend!I41^2)</f>
        <v>1.2433203527817163</v>
      </c>
      <c r="L41" s="5">
        <v>0.02</v>
      </c>
      <c r="M41">
        <f t="shared" si="15"/>
        <v>8.5087024477319015E-2</v>
      </c>
      <c r="N41">
        <f>0.5*E41*Descend!I41^2*Descend!$B$2*Descend!M41</f>
        <v>232215.3796832072</v>
      </c>
      <c r="O41" s="2">
        <f>0.1*($B$9-$B$10*H41)*(E41/Constants!$B$3)^$B$11</f>
        <v>30111.166533783628</v>
      </c>
      <c r="P41" s="2">
        <f t="shared" si="16"/>
        <v>120444.66613513451</v>
      </c>
      <c r="Q41" s="2">
        <f>(P41-N41)*I41/B41/Constants!$B$7</f>
        <v>-2.3726470301334692</v>
      </c>
      <c r="R41" s="2">
        <f t="shared" si="17"/>
        <v>-3.2945484923253672E-2</v>
      </c>
      <c r="S41" s="2">
        <f>P41*$B$1*$B$12/Constants!$B$7</f>
        <v>117.8663399487555</v>
      </c>
      <c r="T41" s="2">
        <f t="shared" si="18"/>
        <v>4319.4784582550601</v>
      </c>
      <c r="U41" s="2">
        <f t="shared" si="19"/>
        <v>345775.0586438083</v>
      </c>
      <c r="V41" s="2">
        <f t="shared" si="20"/>
        <v>203430.92543178232</v>
      </c>
      <c r="W41" s="7">
        <f t="shared" si="21"/>
        <v>-151.90727266655884</v>
      </c>
      <c r="X41">
        <f t="shared" si="5"/>
        <v>1560</v>
      </c>
      <c r="Y41" s="10">
        <f t="shared" si="6"/>
        <v>26175.058643808297</v>
      </c>
    </row>
    <row r="42" spans="1:25" x14ac:dyDescent="0.2">
      <c r="A42" s="7">
        <f t="shared" si="12"/>
        <v>-151.90727266655884</v>
      </c>
      <c r="B42" s="2">
        <f t="shared" si="13"/>
        <v>345775.0586438083</v>
      </c>
      <c r="C42">
        <f>IF(A42&lt;=11000,A42*Constants!$B$2+Constants!$B$1,216.7)</f>
        <v>289.18739727233265</v>
      </c>
      <c r="D42">
        <f>IF(A42&lt;=11000, Constants!$B$4*(1-0.0065*A42/Constants!$B$1)^5.2561, 22632*EXP(9.81*(11000-A42)/Constants!$B$6/C42))</f>
        <v>103162.99696793118</v>
      </c>
      <c r="E42">
        <f>D42/(Constants!$B$6*Descend!C42)</f>
        <v>1.2429758506013706</v>
      </c>
      <c r="F42">
        <f>SQRT(Constants!$B$8*Constants!$B$6*Descend!C42)</f>
        <v>340.87460483882228</v>
      </c>
      <c r="G42" s="5">
        <f>VLOOKUP(TRUNC(A42/1000),Flight!$A$3:$D$17,4,FALSE)</f>
        <v>140</v>
      </c>
      <c r="H42">
        <f>SQRT(5*((Constants!$B$3/Descend!E42*((1+0.2*(Descend!G42/661.5)^2)^3.5-1)+1)^0.286-1))</f>
        <v>0.21022656079999932</v>
      </c>
      <c r="I42">
        <f t="shared" si="14"/>
        <v>71.660895839324411</v>
      </c>
      <c r="J42">
        <f>I42/Constants!$B$9</f>
        <v>139.29775804426606</v>
      </c>
      <c r="K42">
        <f>2*B42*Constants!$B$7/(Descend!E42*Descend!$B$2*Descend!I42^2)</f>
        <v>1.2387344673720511</v>
      </c>
      <c r="L42" s="5">
        <v>0.02</v>
      </c>
      <c r="M42">
        <f t="shared" si="15"/>
        <v>8.4607773618609411E-2</v>
      </c>
      <c r="N42">
        <f>0.5*E42*Descend!I42^2*Descend!$B$2*Descend!M42</f>
        <v>231683.29243128814</v>
      </c>
      <c r="O42" s="2">
        <f>0.1*($B$9-$B$10*H42)*(E42/Constants!$B$3)^$B$11</f>
        <v>30533.388513122503</v>
      </c>
      <c r="P42" s="2">
        <f t="shared" si="16"/>
        <v>122133.55405249001</v>
      </c>
      <c r="Q42" s="2">
        <f>(P42-N42)*I42/B42/Constants!$B$7</f>
        <v>-2.3143599579183496</v>
      </c>
      <c r="R42" s="2">
        <f t="shared" si="17"/>
        <v>-3.2301612263509021E-2</v>
      </c>
      <c r="S42" s="2">
        <f>P42*$B$1*$B$12/Constants!$B$7</f>
        <v>119.5190743021309</v>
      </c>
      <c r="T42" s="2">
        <f t="shared" si="18"/>
        <v>4297.4108285951525</v>
      </c>
      <c r="U42" s="2">
        <f t="shared" si="19"/>
        <v>345655.53956950619</v>
      </c>
      <c r="V42" s="2">
        <f t="shared" si="20"/>
        <v>207728.33626037749</v>
      </c>
      <c r="W42" s="7">
        <f t="shared" si="21"/>
        <v>-290.76887014165982</v>
      </c>
      <c r="X42">
        <f t="shared" si="5"/>
        <v>1620</v>
      </c>
      <c r="Y42" s="10">
        <f t="shared" si="6"/>
        <v>26055.539569506189</v>
      </c>
    </row>
    <row r="43" spans="1:25" x14ac:dyDescent="0.2">
      <c r="A43" s="7">
        <f t="shared" si="12"/>
        <v>-290.76887014165982</v>
      </c>
      <c r="B43" s="2">
        <f t="shared" si="13"/>
        <v>345655.53956950619</v>
      </c>
      <c r="C43">
        <f>IF(A43&lt;=11000,A43*Constants!$B$2+Constants!$B$1,216.7)</f>
        <v>290.0899976559208</v>
      </c>
      <c r="D43">
        <f>IF(A43&lt;=11000, Constants!$B$4*(1-0.0065*A43/Constants!$B$1)^5.2561, 22632*EXP(9.81*(11000-A43)/Constants!$B$6/C43))</f>
        <v>104866.67877444849</v>
      </c>
      <c r="E43">
        <f>D43/(Constants!$B$6*Descend!C43)</f>
        <v>1.2595716074396976</v>
      </c>
      <c r="F43">
        <f>SQRT(Constants!$B$8*Constants!$B$6*Descend!C43)</f>
        <v>341.40615263663449</v>
      </c>
      <c r="G43" s="5">
        <f>VLOOKUP(TRUNC(A43/1000),Flight!$A$3:$D$17,4,FALSE)</f>
        <v>140</v>
      </c>
      <c r="H43">
        <f>SQRT(5*((Constants!$B$3/Descend!E43*((1+0.2*(Descend!G43/661.5)^2)^3.5-1)+1)^0.286-1))</f>
        <v>0.20885200970230497</v>
      </c>
      <c r="I43">
        <f t="shared" si="14"/>
        <v>71.303361102892993</v>
      </c>
      <c r="J43">
        <f>I43/Constants!$B$9</f>
        <v>138.60276551557214</v>
      </c>
      <c r="K43">
        <f>2*B43*Constants!$B$7/(Descend!E43*Descend!$B$2*Descend!I43^2)</f>
        <v>1.2342762429080059</v>
      </c>
      <c r="L43" s="5">
        <v>0.02</v>
      </c>
      <c r="M43">
        <f t="shared" si="15"/>
        <v>8.4143561728878088E-2</v>
      </c>
      <c r="N43">
        <f>0.5*E43*Descend!I43^2*Descend!$B$2*Descend!M43</f>
        <v>231164.45219013077</v>
      </c>
      <c r="O43" s="2">
        <f>0.1*($B$9-$B$10*H43)*(E43/Constants!$B$3)^$B$11</f>
        <v>30949.432668068119</v>
      </c>
      <c r="P43" s="2">
        <f t="shared" si="16"/>
        <v>123797.73067227248</v>
      </c>
      <c r="Q43" s="2">
        <f>(P43-N43)*I43/B43/Constants!$B$7</f>
        <v>-2.2577048468766594</v>
      </c>
      <c r="R43" s="2">
        <f t="shared" si="17"/>
        <v>-3.1668665166868136E-2</v>
      </c>
      <c r="S43" s="2">
        <f>P43*$B$1*$B$12/Constants!$B$7</f>
        <v>121.14762634595473</v>
      </c>
      <c r="T43" s="2">
        <f t="shared" si="18"/>
        <v>4276.056531924969</v>
      </c>
      <c r="U43" s="2">
        <f t="shared" si="19"/>
        <v>345534.39194316021</v>
      </c>
      <c r="V43" s="2">
        <f t="shared" si="20"/>
        <v>212004.39279230245</v>
      </c>
      <c r="W43" s="7">
        <f t="shared" si="21"/>
        <v>-426.23116095425939</v>
      </c>
      <c r="X43">
        <f t="shared" si="5"/>
        <v>1680</v>
      </c>
      <c r="Y43" s="10">
        <f t="shared" si="6"/>
        <v>25934.391943160212</v>
      </c>
    </row>
    <row r="44" spans="1:25" x14ac:dyDescent="0.2">
      <c r="A44" s="7">
        <f t="shared" si="12"/>
        <v>-426.23116095425939</v>
      </c>
      <c r="B44" s="2">
        <f t="shared" si="13"/>
        <v>345534.39194316021</v>
      </c>
      <c r="C44">
        <f>IF(A44&lt;=11000,A44*Constants!$B$2+Constants!$B$1,216.7)</f>
        <v>290.97050254620268</v>
      </c>
      <c r="D44">
        <f>IF(A44&lt;=11000, Constants!$B$4*(1-0.0065*A44/Constants!$B$1)^5.2561, 22632*EXP(9.81*(11000-A44)/Constants!$B$6/C44))</f>
        <v>106550.53705243532</v>
      </c>
      <c r="E44">
        <f>D44/(Constants!$B$6*Descend!C44)</f>
        <v>1.27592392842153</v>
      </c>
      <c r="F44">
        <f>SQRT(Constants!$B$8*Constants!$B$6*Descend!C44)</f>
        <v>341.92389200385549</v>
      </c>
      <c r="G44" s="5">
        <f>VLOOKUP(TRUNC(A44/1000),Flight!$A$3:$D$17,4,FALSE)</f>
        <v>140</v>
      </c>
      <c r="H44">
        <f>SQRT(5*((Constants!$B$3/Descend!E44*((1+0.2*(Descend!G44/661.5)^2)^3.5-1)+1)^0.286-1))</f>
        <v>0.20752365941904649</v>
      </c>
      <c r="I44">
        <f t="shared" si="14"/>
        <v>70.957297311442943</v>
      </c>
      <c r="J44">
        <f>I44/Constants!$B$9</f>
        <v>137.93007073936704</v>
      </c>
      <c r="K44">
        <f>2*B44*Constants!$B$7/(Descend!E44*Descend!$B$2*Descend!I44^2)</f>
        <v>1.2299404442793231</v>
      </c>
      <c r="L44" s="5">
        <v>0.02</v>
      </c>
      <c r="M44">
        <f t="shared" si="15"/>
        <v>8.369370281571116E-2</v>
      </c>
      <c r="N44">
        <f>0.5*E44*Descend!I44^2*Descend!$B$2*Descend!M44</f>
        <v>230658.24725355103</v>
      </c>
      <c r="O44" s="2">
        <f>0.1*($B$9-$B$10*H44)*(E44/Constants!$B$3)^$B$11</f>
        <v>31359.310151002581</v>
      </c>
      <c r="P44" s="2">
        <f t="shared" si="16"/>
        <v>125437.24060401032</v>
      </c>
      <c r="Q44" s="2">
        <f>(P44-N44)*I44/B44/Constants!$B$7</f>
        <v>-2.2026182332541038</v>
      </c>
      <c r="R44" s="2">
        <f t="shared" si="17"/>
        <v>-3.1046449069092638E-2</v>
      </c>
      <c r="S44" s="2">
        <f>P44*$B$1*$B$12/Constants!$B$7</f>
        <v>122.75203973481132</v>
      </c>
      <c r="T44" s="2">
        <f t="shared" si="18"/>
        <v>4255.3861696427693</v>
      </c>
      <c r="U44" s="2">
        <f t="shared" si="19"/>
        <v>345411.63990342541</v>
      </c>
      <c r="V44" s="2">
        <f t="shared" si="20"/>
        <v>216259.77896194521</v>
      </c>
      <c r="W44" s="7">
        <f t="shared" si="21"/>
        <v>-558.38825494950561</v>
      </c>
      <c r="X44">
        <f t="shared" si="5"/>
        <v>1740</v>
      </c>
      <c r="Y44" s="10">
        <f t="shared" si="6"/>
        <v>25811.639903425414</v>
      </c>
    </row>
    <row r="45" spans="1:25" x14ac:dyDescent="0.2">
      <c r="A45" s="7">
        <f t="shared" si="12"/>
        <v>-558.38825494950561</v>
      </c>
      <c r="B45" s="2">
        <f t="shared" si="13"/>
        <v>345411.63990342541</v>
      </c>
      <c r="C45">
        <f>IF(A45&lt;=11000,A45*Constants!$B$2+Constants!$B$1,216.7)</f>
        <v>291.82952365717176</v>
      </c>
      <c r="D45">
        <f>IF(A45&lt;=11000, Constants!$B$4*(1-0.0065*A45/Constants!$B$1)^5.2561, 22632*EXP(9.81*(11000-A45)/Constants!$B$6/C45))</f>
        <v>108214.34342811514</v>
      </c>
      <c r="E45">
        <f>D45/(Constants!$B$6*Descend!C45)</f>
        <v>1.2920332963464982</v>
      </c>
      <c r="F45">
        <f>SQRT(Constants!$B$8*Constants!$B$6*Descend!C45)</f>
        <v>342.42824446218157</v>
      </c>
      <c r="G45" s="5">
        <f>VLOOKUP(TRUNC(A45/1000),Flight!$A$3:$D$17,4,FALSE)</f>
        <v>140</v>
      </c>
      <c r="H45">
        <f>SQRT(5*((Constants!$B$3/Descend!E45*((1+0.2*(Descend!G45/661.5)^2)^3.5-1)+1)^0.286-1))</f>
        <v>0.20623952366945694</v>
      </c>
      <c r="I45">
        <f t="shared" si="14"/>
        <v>70.622238028848685</v>
      </c>
      <c r="J45">
        <f>I45/Constants!$B$9</f>
        <v>137.27876703557371</v>
      </c>
      <c r="K45">
        <f>2*B45*Constants!$B$7/(Descend!E45*Descend!$B$2*Descend!I45^2)</f>
        <v>1.2257221249470693</v>
      </c>
      <c r="L45" s="5">
        <v>0.02</v>
      </c>
      <c r="M45">
        <f t="shared" si="15"/>
        <v>8.3257552214369299E-2</v>
      </c>
      <c r="N45">
        <f>0.5*E45*Descend!I45^2*Descend!$B$2*Descend!M45</f>
        <v>230164.10200378121</v>
      </c>
      <c r="O45" s="2">
        <f>0.1*($B$9-$B$10*H45)*(E45/Constants!$B$3)^$B$11</f>
        <v>31763.035688474218</v>
      </c>
      <c r="P45" s="2">
        <f t="shared" si="16"/>
        <v>127052.14275389687</v>
      </c>
      <c r="Q45" s="2">
        <f>(P45-N45)*I45/B45/Constants!$B$7</f>
        <v>-2.1490401993228536</v>
      </c>
      <c r="R45" s="2">
        <f t="shared" si="17"/>
        <v>-3.043477610479739E-2</v>
      </c>
      <c r="S45" s="2">
        <f>P45*$B$1*$B$12/Constants!$B$7</f>
        <v>124.33237211390519</v>
      </c>
      <c r="T45" s="2">
        <f t="shared" si="18"/>
        <v>4235.3719635387642</v>
      </c>
      <c r="U45" s="2">
        <f t="shared" si="19"/>
        <v>345287.30753131153</v>
      </c>
      <c r="V45" s="2">
        <f t="shared" si="20"/>
        <v>220495.15092548396</v>
      </c>
      <c r="W45" s="7">
        <f t="shared" si="21"/>
        <v>-687.33066690887676</v>
      </c>
      <c r="X45">
        <f t="shared" si="5"/>
        <v>1800</v>
      </c>
      <c r="Y45" s="10">
        <f t="shared" si="6"/>
        <v>25687.307531311526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B10" sqref="B10"/>
    </sheetView>
  </sheetViews>
  <sheetFormatPr baseColWidth="10" defaultColWidth="8.83203125" defaultRowHeight="15" x14ac:dyDescent="0.2"/>
  <cols>
    <col min="4" max="4" width="30.1640625" bestFit="1" customWidth="1"/>
  </cols>
  <sheetData>
    <row r="1" spans="1:11" x14ac:dyDescent="0.2">
      <c r="A1" t="s">
        <v>29</v>
      </c>
      <c r="B1">
        <v>288.2</v>
      </c>
      <c r="C1" t="s">
        <v>30</v>
      </c>
      <c r="D1" t="s">
        <v>31</v>
      </c>
      <c r="H1" t="s">
        <v>1</v>
      </c>
      <c r="I1" t="s">
        <v>16</v>
      </c>
      <c r="J1" t="s">
        <v>50</v>
      </c>
      <c r="K1" t="s">
        <v>14</v>
      </c>
    </row>
    <row r="2" spans="1:11" x14ac:dyDescent="0.2">
      <c r="A2" s="3" t="s">
        <v>32</v>
      </c>
      <c r="B2">
        <v>-6.4999999999999997E-3</v>
      </c>
      <c r="C2" t="s">
        <v>33</v>
      </c>
      <c r="D2" t="s">
        <v>34</v>
      </c>
      <c r="H2">
        <v>0</v>
      </c>
      <c r="I2">
        <v>288.2</v>
      </c>
      <c r="J2">
        <v>1.2250000000000001</v>
      </c>
      <c r="K2">
        <v>340.3</v>
      </c>
    </row>
    <row r="3" spans="1:11" x14ac:dyDescent="0.2">
      <c r="A3" s="3" t="s">
        <v>35</v>
      </c>
      <c r="B3">
        <v>1.2250000000000001</v>
      </c>
      <c r="C3" t="s">
        <v>37</v>
      </c>
      <c r="D3" t="s">
        <v>36</v>
      </c>
      <c r="H3">
        <v>1000</v>
      </c>
    </row>
    <row r="4" spans="1:11" x14ac:dyDescent="0.2">
      <c r="A4" s="3" t="s">
        <v>38</v>
      </c>
      <c r="B4">
        <v>101325</v>
      </c>
      <c r="C4" t="s">
        <v>40</v>
      </c>
      <c r="D4" t="s">
        <v>39</v>
      </c>
      <c r="H4">
        <v>2000</v>
      </c>
    </row>
    <row r="5" spans="1:11" x14ac:dyDescent="0.2">
      <c r="A5" s="3" t="s">
        <v>41</v>
      </c>
      <c r="B5">
        <v>340.3</v>
      </c>
      <c r="C5" t="s">
        <v>42</v>
      </c>
      <c r="D5" t="s">
        <v>43</v>
      </c>
      <c r="H5">
        <v>3000</v>
      </c>
    </row>
    <row r="6" spans="1:11" x14ac:dyDescent="0.2">
      <c r="A6" s="3" t="s">
        <v>44</v>
      </c>
      <c r="B6">
        <v>287</v>
      </c>
      <c r="C6" t="s">
        <v>46</v>
      </c>
      <c r="D6" t="s">
        <v>45</v>
      </c>
      <c r="H6">
        <v>4000</v>
      </c>
    </row>
    <row r="7" spans="1:11" x14ac:dyDescent="0.2">
      <c r="A7" s="3" t="s">
        <v>48</v>
      </c>
      <c r="B7">
        <v>9.81</v>
      </c>
      <c r="C7" t="s">
        <v>49</v>
      </c>
      <c r="H7">
        <v>5000</v>
      </c>
    </row>
    <row r="8" spans="1:11" ht="32" x14ac:dyDescent="0.2">
      <c r="A8" s="3" t="s">
        <v>52</v>
      </c>
      <c r="B8">
        <v>1.4</v>
      </c>
      <c r="D8" s="4" t="s">
        <v>53</v>
      </c>
      <c r="H8">
        <v>6000</v>
      </c>
    </row>
    <row r="9" spans="1:11" x14ac:dyDescent="0.2">
      <c r="A9" s="3" t="s">
        <v>56</v>
      </c>
      <c r="B9">
        <v>0.51444400000000001</v>
      </c>
      <c r="C9" t="s">
        <v>42</v>
      </c>
      <c r="H9">
        <v>7000</v>
      </c>
    </row>
    <row r="10" spans="1:11" x14ac:dyDescent="0.2">
      <c r="A10" s="3" t="s">
        <v>78</v>
      </c>
      <c r="B10" s="2">
        <v>6371000</v>
      </c>
      <c r="H10">
        <v>8000</v>
      </c>
    </row>
    <row r="11" spans="1:11" x14ac:dyDescent="0.2">
      <c r="H11">
        <v>9000</v>
      </c>
    </row>
    <row r="12" spans="1:11" x14ac:dyDescent="0.2">
      <c r="H12">
        <v>10000</v>
      </c>
    </row>
    <row r="13" spans="1:11" x14ac:dyDescent="0.2">
      <c r="H13">
        <v>11000</v>
      </c>
      <c r="I13">
        <v>216.7</v>
      </c>
      <c r="J13">
        <v>0.36399999999999999</v>
      </c>
      <c r="K13">
        <v>295.10000000000002</v>
      </c>
    </row>
    <row r="14" spans="1:11" x14ac:dyDescent="0.2">
      <c r="H14">
        <v>12000</v>
      </c>
      <c r="I14">
        <v>216.7</v>
      </c>
      <c r="J14">
        <v>0.311</v>
      </c>
      <c r="K14">
        <v>295.10000000000002</v>
      </c>
    </row>
    <row r="15" spans="1:11" x14ac:dyDescent="0.2">
      <c r="H15">
        <v>13000</v>
      </c>
      <c r="I15">
        <v>216.7</v>
      </c>
      <c r="J15">
        <v>0.26600000000000001</v>
      </c>
      <c r="K15">
        <v>295.10000000000002</v>
      </c>
    </row>
    <row r="16" spans="1:11" x14ac:dyDescent="0.2">
      <c r="H16">
        <v>14000</v>
      </c>
      <c r="I16">
        <v>216.7</v>
      </c>
      <c r="J16">
        <v>0.22700000000000001</v>
      </c>
      <c r="K16">
        <v>295.10000000000002</v>
      </c>
    </row>
    <row r="17" spans="8:11" x14ac:dyDescent="0.2">
      <c r="H17">
        <v>15000</v>
      </c>
      <c r="I17">
        <v>216.7</v>
      </c>
      <c r="J17">
        <v>0.19400000000000001</v>
      </c>
      <c r="K17">
        <v>295.10000000000002</v>
      </c>
    </row>
    <row r="18" spans="8:11" x14ac:dyDescent="0.2">
      <c r="H18">
        <v>16000</v>
      </c>
      <c r="I18">
        <v>216.7</v>
      </c>
      <c r="J18">
        <v>0.16900000000000001</v>
      </c>
      <c r="K18">
        <v>295.10000000000002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selection activeCell="H7" sqref="H7"/>
    </sheetView>
  </sheetViews>
  <sheetFormatPr baseColWidth="10" defaultColWidth="8.83203125" defaultRowHeight="15" x14ac:dyDescent="0.2"/>
  <cols>
    <col min="13" max="13" width="15.33203125" customWidth="1"/>
  </cols>
  <sheetData>
    <row r="1" spans="1:5" x14ac:dyDescent="0.2">
      <c r="A1" t="s">
        <v>72</v>
      </c>
      <c r="B1" t="s">
        <v>1</v>
      </c>
      <c r="C1" t="s">
        <v>68</v>
      </c>
      <c r="D1" t="s">
        <v>70</v>
      </c>
      <c r="E1" t="s">
        <v>73</v>
      </c>
    </row>
    <row r="2" spans="1:5" x14ac:dyDescent="0.2">
      <c r="B2" t="s">
        <v>71</v>
      </c>
      <c r="C2" t="s">
        <v>69</v>
      </c>
      <c r="D2" t="s">
        <v>69</v>
      </c>
      <c r="E2" t="s">
        <v>42</v>
      </c>
    </row>
    <row r="3" spans="1:5" x14ac:dyDescent="0.2">
      <c r="A3">
        <v>0</v>
      </c>
      <c r="B3">
        <v>0</v>
      </c>
      <c r="C3">
        <v>210</v>
      </c>
      <c r="D3">
        <v>140</v>
      </c>
      <c r="E3">
        <v>-5</v>
      </c>
    </row>
    <row r="4" spans="1:5" x14ac:dyDescent="0.2">
      <c r="A4">
        <v>1</v>
      </c>
      <c r="B4">
        <v>1000</v>
      </c>
      <c r="C4">
        <v>210</v>
      </c>
      <c r="D4">
        <v>180</v>
      </c>
      <c r="E4">
        <v>-7</v>
      </c>
    </row>
    <row r="5" spans="1:5" x14ac:dyDescent="0.2">
      <c r="A5">
        <v>2</v>
      </c>
      <c r="B5">
        <v>2000</v>
      </c>
      <c r="C5">
        <v>220</v>
      </c>
      <c r="D5">
        <v>250</v>
      </c>
      <c r="E5">
        <v>-7</v>
      </c>
    </row>
    <row r="6" spans="1:5" x14ac:dyDescent="0.2">
      <c r="A6">
        <v>3</v>
      </c>
      <c r="B6">
        <v>3000</v>
      </c>
      <c r="C6">
        <v>230</v>
      </c>
      <c r="D6">
        <v>250</v>
      </c>
      <c r="E6">
        <v>-8</v>
      </c>
    </row>
    <row r="7" spans="1:5" x14ac:dyDescent="0.2">
      <c r="A7">
        <v>4</v>
      </c>
      <c r="B7">
        <v>4000</v>
      </c>
      <c r="C7">
        <v>250</v>
      </c>
      <c r="D7">
        <v>270</v>
      </c>
      <c r="E7">
        <v>-8</v>
      </c>
    </row>
    <row r="8" spans="1:5" x14ac:dyDescent="0.2">
      <c r="A8">
        <v>5</v>
      </c>
      <c r="B8">
        <v>5000</v>
      </c>
      <c r="C8">
        <v>260</v>
      </c>
      <c r="D8">
        <v>290</v>
      </c>
      <c r="E8">
        <v>-10</v>
      </c>
    </row>
    <row r="9" spans="1:5" x14ac:dyDescent="0.2">
      <c r="A9">
        <v>6</v>
      </c>
      <c r="B9">
        <v>6000</v>
      </c>
      <c r="C9">
        <v>290</v>
      </c>
      <c r="D9">
        <v>300</v>
      </c>
      <c r="E9">
        <v>-10</v>
      </c>
    </row>
    <row r="10" spans="1:5" x14ac:dyDescent="0.2">
      <c r="A10">
        <v>7</v>
      </c>
      <c r="B10">
        <v>7000</v>
      </c>
      <c r="C10">
        <v>290</v>
      </c>
      <c r="D10">
        <v>300</v>
      </c>
      <c r="E10">
        <v>-10</v>
      </c>
    </row>
    <row r="11" spans="1:5" x14ac:dyDescent="0.2">
      <c r="A11">
        <v>8</v>
      </c>
      <c r="B11">
        <v>8000</v>
      </c>
      <c r="C11">
        <v>290</v>
      </c>
      <c r="D11">
        <v>300</v>
      </c>
      <c r="E11">
        <v>-10</v>
      </c>
    </row>
    <row r="12" spans="1:5" x14ac:dyDescent="0.2">
      <c r="A12">
        <v>9</v>
      </c>
      <c r="B12">
        <v>9000</v>
      </c>
      <c r="C12">
        <v>290</v>
      </c>
      <c r="D12">
        <v>300</v>
      </c>
      <c r="E12">
        <v>-10</v>
      </c>
    </row>
    <row r="13" spans="1:5" x14ac:dyDescent="0.2">
      <c r="A13">
        <v>10</v>
      </c>
      <c r="B13">
        <v>10000</v>
      </c>
      <c r="C13">
        <v>300</v>
      </c>
      <c r="D13">
        <v>300</v>
      </c>
      <c r="E13">
        <v>-10</v>
      </c>
    </row>
    <row r="14" spans="1:5" x14ac:dyDescent="0.2">
      <c r="A14">
        <v>11</v>
      </c>
      <c r="B14">
        <v>11000</v>
      </c>
      <c r="C14">
        <v>300</v>
      </c>
      <c r="D14">
        <v>300</v>
      </c>
      <c r="E14">
        <v>-10</v>
      </c>
    </row>
    <row r="15" spans="1:5" x14ac:dyDescent="0.2">
      <c r="A15">
        <v>12</v>
      </c>
      <c r="B15">
        <v>12000</v>
      </c>
      <c r="C15">
        <v>300</v>
      </c>
      <c r="D15">
        <v>300</v>
      </c>
      <c r="E15">
        <v>-10</v>
      </c>
    </row>
    <row r="16" spans="1:5" x14ac:dyDescent="0.2">
      <c r="A16">
        <v>13</v>
      </c>
      <c r="B16">
        <v>13000</v>
      </c>
      <c r="C16">
        <v>300</v>
      </c>
      <c r="D16">
        <v>300</v>
      </c>
      <c r="E16">
        <v>-10</v>
      </c>
    </row>
    <row r="17" spans="1:13" x14ac:dyDescent="0.2">
      <c r="A17">
        <v>14</v>
      </c>
      <c r="B17">
        <v>14000</v>
      </c>
      <c r="C17">
        <v>300</v>
      </c>
      <c r="D17">
        <v>300</v>
      </c>
      <c r="E17">
        <v>-10</v>
      </c>
    </row>
    <row r="20" spans="1:13" x14ac:dyDescent="0.2">
      <c r="A20" s="9" t="s">
        <v>74</v>
      </c>
      <c r="B20" s="9"/>
      <c r="C20" s="9" t="s">
        <v>75</v>
      </c>
      <c r="D20" s="9"/>
      <c r="E20" s="9" t="s">
        <v>79</v>
      </c>
      <c r="F20" s="9"/>
      <c r="G20" s="9" t="s">
        <v>83</v>
      </c>
      <c r="H20" s="9"/>
      <c r="I20" s="9" t="s">
        <v>80</v>
      </c>
      <c r="J20" s="9"/>
    </row>
    <row r="21" spans="1:13" x14ac:dyDescent="0.2">
      <c r="A21" s="8" t="s">
        <v>76</v>
      </c>
      <c r="B21" s="8" t="s">
        <v>77</v>
      </c>
      <c r="C21" s="8" t="s">
        <v>76</v>
      </c>
      <c r="D21" s="8" t="s">
        <v>77</v>
      </c>
      <c r="E21" s="8" t="s">
        <v>76</v>
      </c>
      <c r="F21" s="8" t="s">
        <v>77</v>
      </c>
      <c r="G21" s="8" t="s">
        <v>76</v>
      </c>
      <c r="H21" s="8" t="s">
        <v>77</v>
      </c>
      <c r="I21" s="8" t="s">
        <v>76</v>
      </c>
      <c r="J21" s="8" t="s">
        <v>77</v>
      </c>
      <c r="K21" t="s">
        <v>81</v>
      </c>
      <c r="L21" s="8" t="s">
        <v>82</v>
      </c>
      <c r="M21" s="8" t="s">
        <v>10</v>
      </c>
    </row>
    <row r="22" spans="1:13" x14ac:dyDescent="0.2">
      <c r="A22">
        <v>41.262891000000003</v>
      </c>
      <c r="B22">
        <v>-8.6852160000000005</v>
      </c>
      <c r="C22">
        <v>42</v>
      </c>
      <c r="D22">
        <v>-8.01</v>
      </c>
      <c r="E22">
        <f>A22*PI()/180</f>
        <v>0.72017330684153558</v>
      </c>
      <c r="F22">
        <f t="shared" ref="F22:H22" si="0">B22*PI()/180</f>
        <v>-0.15158561544689184</v>
      </c>
      <c r="G22">
        <f t="shared" si="0"/>
        <v>0.73303828583761843</v>
      </c>
      <c r="H22">
        <f t="shared" si="0"/>
        <v>-0.13980087308474579</v>
      </c>
      <c r="I22">
        <f>(C22-A22)*PI()/180</f>
        <v>1.2864978996082825E-2</v>
      </c>
      <c r="J22">
        <f>(D22-B22)*PI()/180</f>
        <v>1.1784742362146043E-2</v>
      </c>
      <c r="K22">
        <f>(SIN(I22/2))^2+COS(E22)*COS(G22)*(SIN(J22/2))^2</f>
        <v>6.077128112124719E-5</v>
      </c>
      <c r="L22">
        <f>2*ATAN2(SQRT(1-K22), SQRT(K22))</f>
        <v>1.5591345318565054E-2</v>
      </c>
      <c r="M22" s="2">
        <f>L22*Constants!$B$10</f>
        <v>99332.461024577962</v>
      </c>
    </row>
    <row r="23" spans="1:13" x14ac:dyDescent="0.2">
      <c r="A23">
        <v>42</v>
      </c>
      <c r="B23">
        <v>-8.01</v>
      </c>
      <c r="C23">
        <v>41</v>
      </c>
      <c r="D23">
        <v>-4.3</v>
      </c>
      <c r="E23">
        <f>A23*PI()/180</f>
        <v>0.73303828583761843</v>
      </c>
      <c r="F23">
        <f t="shared" ref="F23" si="1">B23*PI()/180</f>
        <v>-0.13980087308474579</v>
      </c>
      <c r="G23">
        <f t="shared" ref="G23" si="2">C23*PI()/180</f>
        <v>0.715584993317675</v>
      </c>
      <c r="H23">
        <f t="shared" ref="H23" si="3">D23*PI()/180</f>
        <v>-7.5049157835756164E-2</v>
      </c>
      <c r="I23">
        <f>(C23-A23)*PI()/180</f>
        <v>-1.7453292519943295E-2</v>
      </c>
      <c r="J23">
        <f>(D23-B23)*PI()/180</f>
        <v>6.4751715248989622E-2</v>
      </c>
      <c r="K23">
        <f>(SIN(I23/2))^2+COS(E23)*COS(G23)*(SIN(J23/2))^2</f>
        <v>6.6383678707313399E-4</v>
      </c>
      <c r="L23">
        <f>2*ATAN2(SQRT(1-K23), SQRT(K23))</f>
        <v>5.1535763589786197E-2</v>
      </c>
      <c r="M23" s="2">
        <f>L23*Constants!$B$10</f>
        <v>328334.34983052785</v>
      </c>
    </row>
  </sheetData>
  <mergeCells count="5">
    <mergeCell ref="A20:B20"/>
    <mergeCell ref="C20:D20"/>
    <mergeCell ref="E20:F20"/>
    <mergeCell ref="G20:H20"/>
    <mergeCell ref="I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Climb</vt:lpstr>
      <vt:lpstr>Cruise</vt:lpstr>
      <vt:lpstr>Descend</vt:lpstr>
      <vt:lpstr>Constants</vt:lpstr>
      <vt:lpstr>Flight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Angelo Martins</cp:lastModifiedBy>
  <dcterms:created xsi:type="dcterms:W3CDTF">2017-01-03T16:47:19Z</dcterms:created>
  <dcterms:modified xsi:type="dcterms:W3CDTF">2026-04-22T16:59:45Z</dcterms:modified>
</cp:coreProperties>
</file>